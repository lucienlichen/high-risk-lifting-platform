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科研项目实施\1-起重装备健康监测项目实施\2024年公共安全起重装备项目方案\项目实施方案\应用示范单位\"/>
    </mc:Choice>
  </mc:AlternateContent>
  <xr:revisionPtr revIDLastSave="0" documentId="13_ncr:1_{583D886E-B611-4E50-B6B8-DDFDEA7C265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第1页" sheetId="1" r:id="rId1"/>
  </sheets>
  <calcPr calcId="191029"/>
</workbook>
</file>

<file path=xl/calcChain.xml><?xml version="1.0" encoding="utf-8"?>
<calcChain xmlns="http://schemas.openxmlformats.org/spreadsheetml/2006/main">
  <c r="AU339" i="1" l="1"/>
  <c r="AU341" i="1"/>
  <c r="AU343" i="1"/>
  <c r="AU348" i="1"/>
  <c r="AU349" i="1"/>
  <c r="AU2" i="1"/>
  <c r="AU42" i="1"/>
  <c r="AU47" i="1"/>
  <c r="AU48" i="1"/>
  <c r="AU52" i="1"/>
  <c r="AU53" i="1"/>
  <c r="AU57" i="1"/>
  <c r="AU3" i="1"/>
  <c r="AU4" i="1"/>
  <c r="AU62" i="1"/>
  <c r="AU5" i="1"/>
  <c r="AU67" i="1"/>
  <c r="AU70" i="1"/>
  <c r="AU72" i="1"/>
  <c r="AU75" i="1"/>
  <c r="AU77" i="1"/>
  <c r="AU79" i="1"/>
  <c r="AU82" i="1"/>
  <c r="AU83" i="1"/>
  <c r="AU85" i="1"/>
  <c r="AU86" i="1"/>
  <c r="AU87" i="1"/>
  <c r="AU113" i="1"/>
  <c r="AU114" i="1"/>
  <c r="AU115" i="1"/>
  <c r="AU196" i="1"/>
  <c r="AU197" i="1"/>
  <c r="AU369" i="1"/>
  <c r="AU370" i="1"/>
  <c r="AU379" i="1"/>
  <c r="AU304" i="1"/>
  <c r="AU305" i="1"/>
  <c r="AU308" i="1"/>
  <c r="AU309" i="1"/>
  <c r="AU317" i="1"/>
  <c r="AU318" i="1"/>
  <c r="AU320" i="1"/>
  <c r="AU168" i="1"/>
  <c r="AU169" i="1"/>
  <c r="AU239" i="1"/>
  <c r="AU240" i="1"/>
  <c r="AU241" i="1"/>
  <c r="AU254" i="1"/>
  <c r="AU287" i="1"/>
  <c r="AU269" i="1"/>
  <c r="AU273" i="1"/>
  <c r="AU274" i="1"/>
  <c r="AU288" i="1"/>
</calcChain>
</file>

<file path=xl/sharedStrings.xml><?xml version="1.0" encoding="utf-8"?>
<sst xmlns="http://schemas.openxmlformats.org/spreadsheetml/2006/main" count="10635" uniqueCount="2251">
  <si>
    <t>使用单位</t>
  </si>
  <si>
    <t>使用单位社会信用代码</t>
  </si>
  <si>
    <t>档案号</t>
  </si>
  <si>
    <t>设备品种</t>
  </si>
  <si>
    <t>规格型号</t>
  </si>
  <si>
    <t>出厂编号</t>
  </si>
  <si>
    <t>出厂日期</t>
  </si>
  <si>
    <t>设备使用地点</t>
  </si>
  <si>
    <t>使用单位地址</t>
  </si>
  <si>
    <t>使用单位联系人员</t>
  </si>
  <si>
    <t>使用单位联系电话</t>
  </si>
  <si>
    <t>使用单位移动电话</t>
  </si>
  <si>
    <t>单位内部编号</t>
  </si>
  <si>
    <t>检验日期</t>
  </si>
  <si>
    <t>下次检验日期</t>
  </si>
  <si>
    <t>下次检验类型</t>
  </si>
  <si>
    <t>设备状态</t>
  </si>
  <si>
    <t>责任检验员</t>
  </si>
  <si>
    <t>检验报告编号</t>
  </si>
  <si>
    <t>设备名称</t>
  </si>
  <si>
    <t>设备种类</t>
  </si>
  <si>
    <t>安全管理部门</t>
  </si>
  <si>
    <t>安全管理负责人</t>
  </si>
  <si>
    <t>安全管理人电话</t>
  </si>
  <si>
    <t>街道/乡镇</t>
  </si>
  <si>
    <t>设计使用年限</t>
  </si>
  <si>
    <t>检验类型</t>
  </si>
  <si>
    <t>定检预设费用</t>
  </si>
  <si>
    <t>检验结论</t>
  </si>
  <si>
    <t>起重量（t）</t>
  </si>
  <si>
    <t>起重力矩（kNm）</t>
  </si>
  <si>
    <t>车位数量</t>
  </si>
  <si>
    <t>跨度</t>
  </si>
  <si>
    <t>起升速度(带载)(m/min)</t>
  </si>
  <si>
    <t>起升速度(空载)(m/min)</t>
  </si>
  <si>
    <t>提升速度（主）(m/min)</t>
  </si>
  <si>
    <t>提升速度（副）(m/min)</t>
  </si>
  <si>
    <t>钢丝绳直径(mm 升降机)</t>
  </si>
  <si>
    <t>钢丝绳直径(mm 桥式)</t>
  </si>
  <si>
    <t xml:space="preserve">环链直径(mm) </t>
  </si>
  <si>
    <t>登记机关</t>
  </si>
  <si>
    <t>工作环境</t>
  </si>
  <si>
    <t>开工告知流水号</t>
  </si>
  <si>
    <t>原制造单位</t>
  </si>
  <si>
    <t>各起升机构起升速度</t>
  </si>
  <si>
    <t>各起升机构起升高度</t>
  </si>
  <si>
    <t>各起升机构钢丝绳直径</t>
  </si>
  <si>
    <t>各起升机构起重量</t>
  </si>
  <si>
    <t>各起升机构额定载荷</t>
  </si>
  <si>
    <t>下行超速保护装置型式</t>
  </si>
  <si>
    <t>邮政编号</t>
  </si>
  <si>
    <t>使用单位部门</t>
  </si>
  <si>
    <t>双限位装置</t>
  </si>
  <si>
    <t>是否有司机室</t>
  </si>
  <si>
    <t>起升高度限位器</t>
  </si>
  <si>
    <t>双限位专项治理</t>
  </si>
  <si>
    <t/>
  </si>
  <si>
    <t>起重机械</t>
  </si>
  <si>
    <t>1</t>
  </si>
  <si>
    <t>燕尾港镇</t>
  </si>
  <si>
    <t>不明</t>
  </si>
  <si>
    <t>河南卫华重型机械股份有限公司</t>
  </si>
  <si>
    <t>门座起重机</t>
  </si>
  <si>
    <t>MC40</t>
  </si>
  <si>
    <t>ZJ14-1117-2</t>
  </si>
  <si>
    <t>定期检验</t>
  </si>
  <si>
    <t>潘红星</t>
  </si>
  <si>
    <t>港口门座起重机</t>
  </si>
  <si>
    <t>安装监检</t>
  </si>
  <si>
    <t>合格</t>
  </si>
  <si>
    <t>上海振华重工（集团）股份有限公司</t>
  </si>
  <si>
    <t>ZJ14-1117-1</t>
  </si>
  <si>
    <t>连云港鸿云实业有限公司</t>
  </si>
  <si>
    <t>913207001390079016</t>
  </si>
  <si>
    <t>LYGQZ042003</t>
  </si>
  <si>
    <t>电动葫芦门式起重机</t>
  </si>
  <si>
    <t>KSMH10-22A5</t>
  </si>
  <si>
    <t>2411212239</t>
  </si>
  <si>
    <t>2025年01月12日</t>
  </si>
  <si>
    <t>马腰作业区1号仓库</t>
  </si>
  <si>
    <t>连云港市连云区墟沟街道连云港港口控股集团马腰作业区</t>
  </si>
  <si>
    <t>刘松</t>
  </si>
  <si>
    <t>15062957258</t>
  </si>
  <si>
    <t>/</t>
  </si>
  <si>
    <t>2025-03-19</t>
  </si>
  <si>
    <t>2027-03-18</t>
  </si>
  <si>
    <t>在用</t>
  </si>
  <si>
    <t>张令山</t>
  </si>
  <si>
    <t>LYG-QJ(4270)-2025-D00101</t>
  </si>
  <si>
    <t>墟沟街道</t>
  </si>
  <si>
    <t>30年</t>
  </si>
  <si>
    <t>10.0</t>
  </si>
  <si>
    <t>22</t>
  </si>
  <si>
    <t>连云港市市场监督管理局</t>
  </si>
  <si>
    <t>非露天</t>
  </si>
  <si>
    <t>LYQ-QZAZ-20251-00009</t>
  </si>
  <si>
    <t>5/0.83</t>
  </si>
  <si>
    <t>5</t>
  </si>
  <si>
    <t>13</t>
  </si>
  <si>
    <t>10</t>
  </si>
  <si>
    <t>222000</t>
  </si>
  <si>
    <t>设备保障部</t>
  </si>
  <si>
    <t>LYGQZ041398</t>
  </si>
  <si>
    <t>通用门式起重机</t>
  </si>
  <si>
    <t>ME100(100 50)-38 A5</t>
  </si>
  <si>
    <t>2000314353-10</t>
  </si>
  <si>
    <t>2024年05月28日</t>
  </si>
  <si>
    <t>连云港港口控股集团马腰作业区1#泊位</t>
  </si>
  <si>
    <t>连云港港口55号泊位东侧</t>
  </si>
  <si>
    <t>01#</t>
  </si>
  <si>
    <t>2024-07-15</t>
  </si>
  <si>
    <t>2026-07-14</t>
  </si>
  <si>
    <t>LYG-QJ(4210)-2024-D00106</t>
  </si>
  <si>
    <t>连云街道</t>
  </si>
  <si>
    <t>20年</t>
  </si>
  <si>
    <t>100.0</t>
  </si>
  <si>
    <t>38</t>
  </si>
  <si>
    <t>露天</t>
  </si>
  <si>
    <t>LYQ-QZAZ-20246-00006</t>
  </si>
  <si>
    <t>（0.3-3）/（0.43-4.3）</t>
  </si>
  <si>
    <t>34</t>
  </si>
  <si>
    <t>22/16</t>
  </si>
  <si>
    <t>100；50</t>
  </si>
  <si>
    <t>LYGQZ041397</t>
  </si>
  <si>
    <t>电动单梁起重机</t>
  </si>
  <si>
    <t>LD16-17.5A4</t>
  </si>
  <si>
    <t>2000376101-20</t>
  </si>
  <si>
    <t>2024年06月03日</t>
  </si>
  <si>
    <t>连云港港口控股集团马腰作业区1#泊位西车间</t>
  </si>
  <si>
    <t>02#</t>
  </si>
  <si>
    <t>2026-07-15</t>
  </si>
  <si>
    <t>LYG-QJ(4170)-2024-D00111</t>
  </si>
  <si>
    <t>首次检验</t>
  </si>
  <si>
    <t>1200</t>
  </si>
  <si>
    <t>16.0</t>
  </si>
  <si>
    <t>17.5</t>
  </si>
  <si>
    <t>LYQ-QZAZ-20246-00008</t>
  </si>
  <si>
    <t>0.35/3.5</t>
  </si>
  <si>
    <t>12</t>
  </si>
  <si>
    <t>16</t>
  </si>
  <si>
    <t>LYGQZ041396</t>
  </si>
  <si>
    <t>2000376101-10</t>
  </si>
  <si>
    <t>连云港港口控股集团马腰作业区1#泊位东车间</t>
  </si>
  <si>
    <t>LYG-QJ(4170)-2024-D00110</t>
  </si>
  <si>
    <t>LYQ-QZAZ-20246-00007</t>
  </si>
  <si>
    <t>LYGQZ032508</t>
  </si>
  <si>
    <t>MQ10-30</t>
  </si>
  <si>
    <t>M02299</t>
  </si>
  <si>
    <t>东方港务分公司4泊位</t>
  </si>
  <si>
    <t>中国（江苏）自由贸易试验区连云港片区连云区连云港港墟沟作业区55号泊位东侧</t>
  </si>
  <si>
    <t>马强</t>
  </si>
  <si>
    <t>15022369739</t>
  </si>
  <si>
    <t>14-131-008</t>
  </si>
  <si>
    <t>2025-09-01</t>
  </si>
  <si>
    <t>2027-09-01</t>
  </si>
  <si>
    <t>万旺</t>
  </si>
  <si>
    <t>LYG-QD(4710)-2025-D00749</t>
  </si>
  <si>
    <t>伏胜利</t>
  </si>
  <si>
    <t>15961389660</t>
  </si>
  <si>
    <t>年</t>
  </si>
  <si>
    <t>750</t>
  </si>
  <si>
    <t>400</t>
  </si>
  <si>
    <t>60</t>
  </si>
  <si>
    <t>连云港市连云区市场监督管理局</t>
  </si>
  <si>
    <t>上海振华重工（集团）股份有限公司（原上海港机厂）</t>
  </si>
  <si>
    <t>15.5</t>
  </si>
  <si>
    <t>马腰技术设备室</t>
  </si>
  <si>
    <t>LYGQZ032410</t>
  </si>
  <si>
    <t>M02298</t>
  </si>
  <si>
    <t>东方港务分公司1泊位</t>
  </si>
  <si>
    <t>11-131-006</t>
  </si>
  <si>
    <t>LYG-QD(4710)-2025-D00748</t>
  </si>
  <si>
    <t>LYGQZ034569</t>
  </si>
  <si>
    <t>LD3-6.3</t>
  </si>
  <si>
    <t>11090851</t>
  </si>
  <si>
    <t>维修车间</t>
  </si>
  <si>
    <t>连云港港口37号泊位</t>
  </si>
  <si>
    <t>李学明</t>
  </si>
  <si>
    <t>13912163327</t>
  </si>
  <si>
    <t>2017-08-23</t>
  </si>
  <si>
    <t>2019-08-23</t>
  </si>
  <si>
    <t>报废</t>
  </si>
  <si>
    <t>王文军</t>
  </si>
  <si>
    <t>LYG-QD(4170)-2017-1075</t>
  </si>
  <si>
    <t>设备科</t>
  </si>
  <si>
    <t>河南省重科防爆机械有限公司</t>
  </si>
  <si>
    <t>LYGQZ027987</t>
  </si>
  <si>
    <t>M10-30</t>
  </si>
  <si>
    <t>2091年01月01日</t>
  </si>
  <si>
    <t>马腰作业区4泊位</t>
  </si>
  <si>
    <t>史各</t>
  </si>
  <si>
    <t>15161340623</t>
  </si>
  <si>
    <t>11-131-014</t>
  </si>
  <si>
    <t>2024-08-21</t>
  </si>
  <si>
    <t>2026-08-21</t>
  </si>
  <si>
    <t>李泉</t>
  </si>
  <si>
    <t>LYG-QD(4710)-2024-D00580</t>
  </si>
  <si>
    <t>930</t>
  </si>
  <si>
    <t>300</t>
  </si>
  <si>
    <t>上海港机厂</t>
  </si>
  <si>
    <t>-15-25</t>
  </si>
  <si>
    <t>28</t>
  </si>
  <si>
    <t>LYGQZ024214</t>
  </si>
  <si>
    <t>马腰作业区2泊位</t>
  </si>
  <si>
    <t>张晓光</t>
  </si>
  <si>
    <t>11-131-010</t>
  </si>
  <si>
    <t>2025-02-17</t>
  </si>
  <si>
    <t>2027-02-17</t>
  </si>
  <si>
    <t>LYG-QD(4710)-2025-D00092</t>
  </si>
  <si>
    <t>孙钰成</t>
  </si>
  <si>
    <t>上海机械制造厂</t>
  </si>
  <si>
    <t>连云港东粮码头有限公司</t>
  </si>
  <si>
    <t>91320700139008285A</t>
  </si>
  <si>
    <t>LYGQZ037379</t>
  </si>
  <si>
    <t>轮胎起重机</t>
  </si>
  <si>
    <t>QLY32</t>
  </si>
  <si>
    <t>场内流动</t>
  </si>
  <si>
    <t>连云港市连云区陶庵76#</t>
  </si>
  <si>
    <t>13-122-002</t>
  </si>
  <si>
    <t>LYG-QD(4410)-2025-D00475</t>
  </si>
  <si>
    <t>0-26.25/0-18.75</t>
  </si>
  <si>
    <t>LYGQZ037378</t>
  </si>
  <si>
    <t>夏益淼</t>
  </si>
  <si>
    <t>13-122-003</t>
  </si>
  <si>
    <t>LYG-QD(4410)-2025-D00476</t>
  </si>
  <si>
    <t>无</t>
  </si>
  <si>
    <t>LYGQZ030453</t>
  </si>
  <si>
    <t>BCW5271JQZQLY25A</t>
  </si>
  <si>
    <t>场内</t>
  </si>
  <si>
    <t>王文飞</t>
  </si>
  <si>
    <t>13-122-010</t>
  </si>
  <si>
    <t>LYG-QD(4410)-2019-0506</t>
  </si>
  <si>
    <t>茆长扬</t>
  </si>
  <si>
    <t>北京起重机厂</t>
  </si>
  <si>
    <t>LYGQZ030273</t>
  </si>
  <si>
    <t>通用桥式起重机</t>
  </si>
  <si>
    <t>QD5t-19m</t>
  </si>
  <si>
    <t>111-0306-119-002</t>
  </si>
  <si>
    <t>连云港市连云区庙岭港区拆灌包库</t>
  </si>
  <si>
    <t>连云港市连云区庙岭港区</t>
  </si>
  <si>
    <t>任书杰</t>
  </si>
  <si>
    <t>西2</t>
  </si>
  <si>
    <t>LYG-QD(4110)-2025-D00449</t>
  </si>
  <si>
    <t>设备部</t>
  </si>
  <si>
    <t>茆长杨</t>
  </si>
  <si>
    <t>LYQ-QZWX-20254-00009</t>
  </si>
  <si>
    <t>上海（大力神）起重运输机械厂</t>
  </si>
  <si>
    <t>技术设备中心</t>
  </si>
  <si>
    <t>是</t>
  </si>
  <si>
    <t>重锤式高度限位器;传动式起升高度限位器</t>
  </si>
  <si>
    <t>双限位，无需加装</t>
  </si>
  <si>
    <t>LYGQZ030498</t>
  </si>
  <si>
    <t>QD5-16.5</t>
  </si>
  <si>
    <t>13-135-005</t>
  </si>
  <si>
    <t>LYG-QD(4110)-2025-D00453</t>
  </si>
  <si>
    <t>LYQ-QZWX-20254-00006</t>
  </si>
  <si>
    <t>河南起重机器有限公司</t>
  </si>
  <si>
    <t>LYGQZ030188</t>
  </si>
  <si>
    <t>13-135-006</t>
  </si>
  <si>
    <t>LYG-QD(4110)-2025-D00452</t>
  </si>
  <si>
    <t>LYQ-QZWX-20254-00005</t>
  </si>
  <si>
    <t>LYGQZ031975</t>
  </si>
  <si>
    <t>111-0306-119-007</t>
  </si>
  <si>
    <t>西7</t>
  </si>
  <si>
    <t>LYG-QD(4110)-2025-D00455</t>
  </si>
  <si>
    <t>LYQ-QZWX-20254-00010</t>
  </si>
  <si>
    <t>LYGQZ031403</t>
  </si>
  <si>
    <t>MQ16t-35M/25t-25M</t>
  </si>
  <si>
    <t>4710-324</t>
  </si>
  <si>
    <t>码头</t>
  </si>
  <si>
    <t>连云港市连云区中山中路188号</t>
  </si>
  <si>
    <t>13-131-001</t>
  </si>
  <si>
    <t>LYG-QD(4710)-2025-D00469</t>
  </si>
  <si>
    <t>安全技术部</t>
  </si>
  <si>
    <t>南京港口机械厂</t>
  </si>
  <si>
    <t>LYGQZ028736</t>
  </si>
  <si>
    <t>MQ12T</t>
  </si>
  <si>
    <t>4710-391</t>
  </si>
  <si>
    <t>13-131-002</t>
  </si>
  <si>
    <t>注销</t>
  </si>
  <si>
    <t>丁勇杰</t>
  </si>
  <si>
    <t>LYG-QD(4710)-2023-D00543</t>
  </si>
  <si>
    <t>南京港机厂</t>
  </si>
  <si>
    <t>LYGQZ028631</t>
  </si>
  <si>
    <t>13-122-008</t>
  </si>
  <si>
    <t>LYG-QD(4410)-2019-0510</t>
  </si>
  <si>
    <t>LYGQZ028630</t>
  </si>
  <si>
    <t>03-015</t>
  </si>
  <si>
    <t>13-122-007</t>
  </si>
  <si>
    <t>LYG-QD(4410)-2021-00793</t>
  </si>
  <si>
    <t>-1年</t>
  </si>
  <si>
    <t>LYGQZ028629</t>
  </si>
  <si>
    <t>02-013</t>
  </si>
  <si>
    <t>13-122-006</t>
  </si>
  <si>
    <t>LYG-QD(4410)-2021-00792</t>
  </si>
  <si>
    <t>LYGQZ028443</t>
  </si>
  <si>
    <t>111-0306-119-001</t>
  </si>
  <si>
    <t>西1</t>
  </si>
  <si>
    <t>LYG-QD(4110)-2025-D00448</t>
  </si>
  <si>
    <t>通用桥式起重机系统改造</t>
  </si>
  <si>
    <t>LYQ-QZWX-20254-00011</t>
  </si>
  <si>
    <t>LYGQZ029459</t>
  </si>
  <si>
    <t>111-0306-119-003</t>
  </si>
  <si>
    <t>西3</t>
  </si>
  <si>
    <t>LYG-QD(4110)-2025-D00450</t>
  </si>
  <si>
    <t>LYQ-QZWX-20254-00012</t>
  </si>
  <si>
    <t>LYGQZ028987</t>
  </si>
  <si>
    <t>13-135-007</t>
  </si>
  <si>
    <t>LYG-QD(4110)-2025-D00454</t>
  </si>
  <si>
    <t>LYQ-QZWX-20254-00008</t>
  </si>
  <si>
    <t>LYGQZ028986</t>
  </si>
  <si>
    <t>13-135-004</t>
  </si>
  <si>
    <t>LYG-QD(4110)-2025-D00451</t>
  </si>
  <si>
    <t>LYQ-QZWX-20254-00007</t>
  </si>
  <si>
    <t>LYGQZ027012</t>
  </si>
  <si>
    <t>MQS型25t</t>
  </si>
  <si>
    <t>G198-1</t>
  </si>
  <si>
    <t>连云港庙岭作业区32#泊位</t>
  </si>
  <si>
    <t>袁爱军</t>
  </si>
  <si>
    <t>13-131-003</t>
  </si>
  <si>
    <t>LYG-QD(4710)-2025-D00470</t>
  </si>
  <si>
    <t>MQS型25t门座起重机</t>
  </si>
  <si>
    <t>技术部</t>
  </si>
  <si>
    <t>青岛海西重机有限责任公司</t>
  </si>
  <si>
    <t>LYGQZ023965</t>
  </si>
  <si>
    <t>防爆桥式起重机</t>
  </si>
  <si>
    <t>QB5-24.5 A5 DIPA21TAT3</t>
  </si>
  <si>
    <t>灌包房内</t>
  </si>
  <si>
    <t>LYG-QD(4130)-2025-D00473</t>
  </si>
  <si>
    <t>办公室</t>
  </si>
  <si>
    <t>河南省黄河防爆起重机有限公司</t>
  </si>
  <si>
    <t>传动式限位和单限位（或者双限位），无需加装</t>
  </si>
  <si>
    <t>LYGQZ023198</t>
  </si>
  <si>
    <t>G198-3</t>
  </si>
  <si>
    <t>13-131-005</t>
  </si>
  <si>
    <t>LYG-QD(4710)-2025-D00472</t>
  </si>
  <si>
    <t>LYGQZ022844</t>
  </si>
  <si>
    <t>G198-2</t>
  </si>
  <si>
    <t>13-131-004</t>
  </si>
  <si>
    <t>LYG-QD(4710)-2025-D00471</t>
  </si>
  <si>
    <t>LYGQZ023712</t>
  </si>
  <si>
    <t>QLY25</t>
  </si>
  <si>
    <t>13-122-001</t>
  </si>
  <si>
    <t>LYG-QD(4410)-2025-D00474</t>
  </si>
  <si>
    <t>哈尔滨工程机械制造有限责任公司</t>
  </si>
  <si>
    <t>新陆桥（连云港）码头有限公司</t>
  </si>
  <si>
    <t>913207007658604915</t>
  </si>
  <si>
    <t>LYGQZ036564</t>
  </si>
  <si>
    <t>MC型40t</t>
  </si>
  <si>
    <t>1301002000524001</t>
  </si>
  <si>
    <t>2020年11月25日</t>
  </si>
  <si>
    <t>新陆桥（连云港）码头有限公司35#泊位</t>
  </si>
  <si>
    <t>连云港开发区黄河路43号</t>
  </si>
  <si>
    <t>李清佳</t>
  </si>
  <si>
    <t>0518-82388272</t>
  </si>
  <si>
    <t>07</t>
  </si>
  <si>
    <t>2025-05-26</t>
  </si>
  <si>
    <t>2027-05-26</t>
  </si>
  <si>
    <t>LYG-QD(4710)-2025-D00461</t>
  </si>
  <si>
    <t>陶文康</t>
  </si>
  <si>
    <t>13003460338</t>
  </si>
  <si>
    <t>1190</t>
  </si>
  <si>
    <t>40.0</t>
  </si>
  <si>
    <t>1000</t>
  </si>
  <si>
    <t>30/60</t>
  </si>
  <si>
    <t>30/20</t>
  </si>
  <si>
    <t>32</t>
  </si>
  <si>
    <t>40</t>
  </si>
  <si>
    <t>LYGQZ033387</t>
  </si>
  <si>
    <t>LD5-10.5A3</t>
  </si>
  <si>
    <t>218141</t>
  </si>
  <si>
    <t>2018年11月20日</t>
  </si>
  <si>
    <t>门机队铆焊车间</t>
  </si>
  <si>
    <t>连云港市中山中路188号新海岸大厦四楼</t>
  </si>
  <si>
    <t>13815667715</t>
  </si>
  <si>
    <t>LYG-QD(4170)-2025-D00098</t>
  </si>
  <si>
    <t>550</t>
  </si>
  <si>
    <t>5.0</t>
  </si>
  <si>
    <t>9.9</t>
  </si>
  <si>
    <t>10.5</t>
  </si>
  <si>
    <t>8</t>
  </si>
  <si>
    <t>山东天力重工集团有限公司</t>
  </si>
  <si>
    <t>0.8/8</t>
  </si>
  <si>
    <t>9</t>
  </si>
  <si>
    <t>222024</t>
  </si>
  <si>
    <t>断火式高度限位器;重锤式高度限位器</t>
  </si>
  <si>
    <t>单限位，已加装非传动式</t>
  </si>
  <si>
    <t>LYGQZ032310</t>
  </si>
  <si>
    <t>1301002000390001</t>
  </si>
  <si>
    <t>2019年10月19日</t>
  </si>
  <si>
    <t>35号泊位</t>
  </si>
  <si>
    <t>连云区庙岭港区</t>
  </si>
  <si>
    <t>6#</t>
  </si>
  <si>
    <t>2024-01-31</t>
  </si>
  <si>
    <t>2026-01-30</t>
  </si>
  <si>
    <t>LYG-QD(4710)-2024-D00119</t>
  </si>
  <si>
    <t>950</t>
  </si>
  <si>
    <t>600</t>
  </si>
  <si>
    <t>55</t>
  </si>
  <si>
    <t>30</t>
  </si>
  <si>
    <t>27</t>
  </si>
  <si>
    <t>高晓明</t>
  </si>
  <si>
    <t>25.0</t>
  </si>
  <si>
    <t>0-105</t>
  </si>
  <si>
    <t>25</t>
  </si>
  <si>
    <t>LYGQZ030714</t>
  </si>
  <si>
    <t>ZJ10-1003-2</t>
  </si>
  <si>
    <t>连云港市连云区陶庵港区</t>
  </si>
  <si>
    <t>2023-12-31</t>
  </si>
  <si>
    <t>2025-12-30</t>
  </si>
  <si>
    <t>LYG-QD(4710)-2023-D01080</t>
  </si>
  <si>
    <t>355</t>
  </si>
  <si>
    <t>-15-20</t>
  </si>
  <si>
    <t>LYGQZ030713</t>
  </si>
  <si>
    <t>MH3-4  A3</t>
  </si>
  <si>
    <t>2011109</t>
  </si>
  <si>
    <t>铆焊车间东跨</t>
  </si>
  <si>
    <t>2024-04-01</t>
  </si>
  <si>
    <t>2026-03-31</t>
  </si>
  <si>
    <t>LYG-QD(4270)-2024-D00187</t>
  </si>
  <si>
    <t>450</t>
  </si>
  <si>
    <t>3.0</t>
  </si>
  <si>
    <t>4</t>
  </si>
  <si>
    <t>山东银河起重机械有限公司</t>
  </si>
  <si>
    <t>4.5</t>
  </si>
  <si>
    <t>14</t>
  </si>
  <si>
    <t>3</t>
  </si>
  <si>
    <t>LYGQZ030178</t>
  </si>
  <si>
    <t>ZJ10-1003-1</t>
  </si>
  <si>
    <t>LYG-QD(4710)-2024-D00005</t>
  </si>
  <si>
    <t>LYGQZ030322</t>
  </si>
  <si>
    <t>LD5-19.50A3</t>
  </si>
  <si>
    <t>112128</t>
  </si>
  <si>
    <t>车间东台</t>
  </si>
  <si>
    <t>LYG-QD(4170)-2023-D01075</t>
  </si>
  <si>
    <t>19.50</t>
  </si>
  <si>
    <t>山东安信起重设备有限公司</t>
  </si>
  <si>
    <t>6</t>
  </si>
  <si>
    <t>222042</t>
  </si>
  <si>
    <t>MQ16-33</t>
  </si>
  <si>
    <t>3#</t>
  </si>
  <si>
    <t>LYGQZ030961</t>
  </si>
  <si>
    <t>MQ25-35</t>
  </si>
  <si>
    <t>LYG-QD(4710)-2025-D00462</t>
  </si>
  <si>
    <t>625</t>
  </si>
  <si>
    <t>MQ16-35</t>
  </si>
  <si>
    <t>LYGQZ030368</t>
  </si>
  <si>
    <t>APR-89</t>
  </si>
  <si>
    <t>王光谦</t>
  </si>
  <si>
    <t>15961381101</t>
  </si>
  <si>
    <t>1#</t>
  </si>
  <si>
    <t>2024-04-27</t>
  </si>
  <si>
    <t>2026-04-27</t>
  </si>
  <si>
    <t>LYG-QD(4710)-2024-D00334</t>
  </si>
  <si>
    <t>起重复检</t>
  </si>
  <si>
    <t>245</t>
  </si>
  <si>
    <t>70</t>
  </si>
  <si>
    <t>35</t>
  </si>
  <si>
    <t>LYGQZ028498</t>
  </si>
  <si>
    <t>装卸桥</t>
  </si>
  <si>
    <t>ZQX1850T/M</t>
  </si>
  <si>
    <t>08-109</t>
  </si>
  <si>
    <t>2008年10月01日</t>
  </si>
  <si>
    <t>LYG-QD(4280)-2023-D01079</t>
  </si>
  <si>
    <t>装船机</t>
  </si>
  <si>
    <t>15951259766</t>
  </si>
  <si>
    <t>650</t>
  </si>
  <si>
    <t>44.0</t>
  </si>
  <si>
    <t>19</t>
  </si>
  <si>
    <t>杭州华新机电工程有限公司</t>
  </si>
  <si>
    <t>120</t>
  </si>
  <si>
    <t>-19-22</t>
  </si>
  <si>
    <t>44</t>
  </si>
  <si>
    <t>否</t>
  </si>
  <si>
    <t>传动式起升高度限位器</t>
  </si>
  <si>
    <t>传动式限位，无需加装</t>
  </si>
  <si>
    <t>LYGQZ028613</t>
  </si>
  <si>
    <t>MAR-89</t>
  </si>
  <si>
    <t>1989年03月</t>
  </si>
  <si>
    <t>5#</t>
  </si>
  <si>
    <t>LYG-QD(4710)-2024-D00333</t>
  </si>
  <si>
    <t>2#</t>
  </si>
  <si>
    <t>LYGQZ029342</t>
  </si>
  <si>
    <t>1000t/h</t>
  </si>
  <si>
    <t>04-01-04</t>
  </si>
  <si>
    <t>徐鑫</t>
  </si>
  <si>
    <t>LYG-QD(4280)-2023-D01078</t>
  </si>
  <si>
    <t>780</t>
  </si>
  <si>
    <t>LYGQZ029341</t>
  </si>
  <si>
    <t>3000/1000t/h</t>
  </si>
  <si>
    <t>04-01-03</t>
  </si>
  <si>
    <t>LYG-QD(4280)-2023-D01077</t>
  </si>
  <si>
    <t>LYGQZ023441</t>
  </si>
  <si>
    <t>LD5-19.5 A3</t>
  </si>
  <si>
    <t>161106</t>
  </si>
  <si>
    <t>2016年09月26日</t>
  </si>
  <si>
    <t>机修车间</t>
  </si>
  <si>
    <t>连云港市连云区中山路</t>
  </si>
  <si>
    <t>2024-10-14</t>
  </si>
  <si>
    <t>2026-10-14</t>
  </si>
  <si>
    <t>LYG-QD(4170)-2024-D00717</t>
  </si>
  <si>
    <t>19.5</t>
  </si>
  <si>
    <t>15</t>
  </si>
  <si>
    <t>山东圣起重型机械有限公司</t>
  </si>
  <si>
    <t>连云港新东方集装箱码头有限公司</t>
  </si>
  <si>
    <t>9132070072064674X7</t>
  </si>
  <si>
    <t>LYGQZ042153</t>
  </si>
  <si>
    <t>轮胎式集装箱门式起重机</t>
  </si>
  <si>
    <t>ARTG型41t</t>
  </si>
  <si>
    <t>G325B-2</t>
  </si>
  <si>
    <t>连云区庙里港区24-27泊位</t>
  </si>
  <si>
    <t>连云区大港北路</t>
  </si>
  <si>
    <t>谭杰</t>
  </si>
  <si>
    <t>LYG-QJ(4240)-2025-00106</t>
  </si>
  <si>
    <t>ARTG型41t轮胎式集装箱门式起重机</t>
  </si>
  <si>
    <t>25年</t>
  </si>
  <si>
    <t>LYQ-QZAZ-20254-00004</t>
  </si>
  <si>
    <t>25/52</t>
  </si>
  <si>
    <t>LYGQZ042152</t>
  </si>
  <si>
    <t>G325B-1</t>
  </si>
  <si>
    <t>LYG-QJ(4240)-2025-00105</t>
  </si>
  <si>
    <t>LYQ-QZAZ-20254-00003</t>
  </si>
  <si>
    <t>LYGQZ042151</t>
  </si>
  <si>
    <t>G325A-2</t>
  </si>
  <si>
    <t>LYG-QJ(4240)-2025-00104</t>
  </si>
  <si>
    <t>LYQ-QZAZ-20254-00002</t>
  </si>
  <si>
    <t>LYGQZ042150</t>
  </si>
  <si>
    <t>G325A-1</t>
  </si>
  <si>
    <t>LYG-QJ(4240)-2025-00103</t>
  </si>
  <si>
    <t>LYQ-QZAZ-20254-00001</t>
  </si>
  <si>
    <t>LYGQZ041538</t>
  </si>
  <si>
    <t>轨道式集装箱门式起重机</t>
  </si>
  <si>
    <t>GJQ型41t</t>
  </si>
  <si>
    <t>G317B-1</t>
  </si>
  <si>
    <t>庙岭港区新东方集装箱码头后方堆场</t>
  </si>
  <si>
    <t>连云区大港东路</t>
  </si>
  <si>
    <t>杜松</t>
  </si>
  <si>
    <t>LYG-QJ(4230)-2024-D00169</t>
  </si>
  <si>
    <t>GJQ型41t轨道式集装箱门式起重机</t>
  </si>
  <si>
    <t>LYQ-QZAZ-20247-00005</t>
  </si>
  <si>
    <t>45/90</t>
  </si>
  <si>
    <t>LYGQZ041537</t>
  </si>
  <si>
    <t>G317A-1</t>
  </si>
  <si>
    <t>LYG-QJ(4230)-2024-D00165</t>
  </si>
  <si>
    <t>LYQ-QZAZ-20247-00004</t>
  </si>
  <si>
    <t>LYGQZ036572</t>
  </si>
  <si>
    <t>RTG型41t</t>
  </si>
  <si>
    <t>G258-2</t>
  </si>
  <si>
    <t>连云区大港北路连云港新东方集装箱码头有限公司码头集装箱堆场</t>
  </si>
  <si>
    <t>连云港市连云区庙岭港区42号</t>
  </si>
  <si>
    <t>LYG-QD(4240)-2025-D00019</t>
  </si>
  <si>
    <t>RTG型41t轮胎式集装箱门式起重机</t>
  </si>
  <si>
    <t>0518-81768911</t>
  </si>
  <si>
    <t>LYGQZ036573</t>
  </si>
  <si>
    <t>G258-1</t>
  </si>
  <si>
    <t>LYG-QD(4240)-2025-D00017</t>
  </si>
  <si>
    <t>LYGQZ032819</t>
  </si>
  <si>
    <t>集装箱正面吊运起重机</t>
  </si>
  <si>
    <t>DRT450系列</t>
  </si>
  <si>
    <t>H10300405</t>
  </si>
  <si>
    <t>厂内</t>
  </si>
  <si>
    <t>连云港市连云区大港北路</t>
  </si>
  <si>
    <t>LYG-QD(4440)-2025-D00525</t>
  </si>
  <si>
    <t>工程部</t>
  </si>
  <si>
    <t>黄明雷</t>
  </si>
  <si>
    <t>卡哥特科工业（中国）有限公司</t>
  </si>
  <si>
    <t>LYGQZ030795</t>
  </si>
  <si>
    <t>岸边集装箱起重机</t>
  </si>
  <si>
    <t>ZP61t A8</t>
  </si>
  <si>
    <t>ZP07-879-7</t>
  </si>
  <si>
    <t>25泊位</t>
  </si>
  <si>
    <t>LYG-QD(4250)-2025-D00510</t>
  </si>
  <si>
    <t>工程技术部</t>
  </si>
  <si>
    <t>黄川雷</t>
  </si>
  <si>
    <t>180/90</t>
  </si>
  <si>
    <t>LYGQZ030779</t>
  </si>
  <si>
    <t>ZP61t  A8</t>
  </si>
  <si>
    <t>ZP07-879-6</t>
  </si>
  <si>
    <t>24泊位</t>
  </si>
  <si>
    <t>LYG-QD(4250)-2025-D00508</t>
  </si>
  <si>
    <t>LYGQZ030578</t>
  </si>
  <si>
    <t>ZP07-879-8</t>
  </si>
  <si>
    <t>26泊位</t>
  </si>
  <si>
    <t>LYG-QD(4250)-2025-D00511</t>
  </si>
  <si>
    <t>LYGQZ030577</t>
  </si>
  <si>
    <t>ZP07-879-9</t>
  </si>
  <si>
    <t>27泊位</t>
  </si>
  <si>
    <t>LYG-QD(4250)-2025-D00512</t>
  </si>
  <si>
    <t>LYGQZ030512</t>
  </si>
  <si>
    <t>J296A</t>
  </si>
  <si>
    <t>2P07-879-02</t>
  </si>
  <si>
    <t>杨帆</t>
  </si>
  <si>
    <t>17#</t>
  </si>
  <si>
    <t>正在修理</t>
  </si>
  <si>
    <t>LYG-QD(4250)-2024-D00590</t>
  </si>
  <si>
    <t>黄晓雷</t>
  </si>
  <si>
    <t>LYQ-QZWX-20254-00003</t>
  </si>
  <si>
    <t>上海振华港口机械有限责任公司</t>
  </si>
  <si>
    <t>90/180</t>
  </si>
  <si>
    <t>LYGQZ031577</t>
  </si>
  <si>
    <t>2P07-879-03</t>
  </si>
  <si>
    <t>18#</t>
  </si>
  <si>
    <t>LYG-QD(4250)-2024-D00591</t>
  </si>
  <si>
    <t>LYGQZ031537</t>
  </si>
  <si>
    <t>ZP07-879-10</t>
  </si>
  <si>
    <t>28泊位</t>
  </si>
  <si>
    <t>LYG-QD(4250)-2025-D00515</t>
  </si>
  <si>
    <t>LYGQZ030493</t>
  </si>
  <si>
    <t>DII254A</t>
  </si>
  <si>
    <t>C20106</t>
  </si>
  <si>
    <t>LYG-QD(4440)-2025-D00526</t>
  </si>
  <si>
    <t>瑞典科尼</t>
  </si>
  <si>
    <t>LYGQZ031105</t>
  </si>
  <si>
    <t>C20101</t>
  </si>
  <si>
    <t>LYG-QD(4440)-2025-D00520</t>
  </si>
  <si>
    <t>LYGQZ031693</t>
  </si>
  <si>
    <t>2P07-879-05</t>
  </si>
  <si>
    <t>20#</t>
  </si>
  <si>
    <t>LYG-QD(4250)-2024-D00593</t>
  </si>
  <si>
    <t>重锤式高度限位器;压板式高度限位器</t>
  </si>
  <si>
    <t>LYGQZ031194</t>
  </si>
  <si>
    <t>2P07-879-04</t>
  </si>
  <si>
    <t>19#</t>
  </si>
  <si>
    <t>LYG-QD(4250)-2024-D00592</t>
  </si>
  <si>
    <t>断火式高度限位器;传动式起升高度限位器</t>
  </si>
  <si>
    <t>LYGQZ029101</t>
  </si>
  <si>
    <t>2P07-879-01</t>
  </si>
  <si>
    <t>连云港市连云区庙岭港区，连云港新东方集装箱码头有限公司</t>
  </si>
  <si>
    <t>16#</t>
  </si>
  <si>
    <t>LYG-QD(4250)-2024-D00577</t>
  </si>
  <si>
    <t>LYQ-QZWX-20254-00004</t>
  </si>
  <si>
    <t>LYGQZ029515</t>
  </si>
  <si>
    <t>RC41T</t>
  </si>
  <si>
    <t>ZP08-1150-3</t>
  </si>
  <si>
    <t>庙岭港区新东方码头货场</t>
  </si>
  <si>
    <t>连云港庙岭港区连云港新东方集装箱码头有限公司</t>
  </si>
  <si>
    <t>沈井玉</t>
  </si>
  <si>
    <t>32#</t>
  </si>
  <si>
    <t>正在改造</t>
  </si>
  <si>
    <t>LYG-QD(4240)-2024-D00280</t>
  </si>
  <si>
    <t>苏炜奕</t>
  </si>
  <si>
    <t>LYQ-QZGZ-202410-00003</t>
  </si>
  <si>
    <t>上海振华重 工（集团）股份有限公司</t>
  </si>
  <si>
    <t>LYGQZ029514</t>
  </si>
  <si>
    <t>ZP08-1150-4</t>
  </si>
  <si>
    <t>连云港庙岭作业区新东方PSA集装箱码头</t>
  </si>
  <si>
    <t>33#</t>
  </si>
  <si>
    <t>LYG-QD(4240)-2024-D00281</t>
  </si>
  <si>
    <t>LYQ-QZWX-20257-00002</t>
  </si>
  <si>
    <t>LYGQZ029220</t>
  </si>
  <si>
    <t>ZP08-1150-7</t>
  </si>
  <si>
    <t>36#</t>
  </si>
  <si>
    <t>LYG-QD(4240)-2024-D00284</t>
  </si>
  <si>
    <t>LYQ-QZWX-20257-00003</t>
  </si>
  <si>
    <t>LYGQZ029219</t>
  </si>
  <si>
    <t>ZP08-1150-6</t>
  </si>
  <si>
    <t>35#</t>
  </si>
  <si>
    <t>LYG-QD(4240)-2024-D00278</t>
  </si>
  <si>
    <t>LYQ-QZGZ-202410-00004</t>
  </si>
  <si>
    <t>LYGQZ029218</t>
  </si>
  <si>
    <t>ZP08-1150-10</t>
  </si>
  <si>
    <t>39#</t>
  </si>
  <si>
    <t>LYG-QD(4240)-2024-D00282</t>
  </si>
  <si>
    <t>LYGQZ029587</t>
  </si>
  <si>
    <t>ZP08-1150-9</t>
  </si>
  <si>
    <t>38#</t>
  </si>
  <si>
    <t>LYG-QD(4240)-2024-D00274</t>
  </si>
  <si>
    <t>LYGQZ029586</t>
  </si>
  <si>
    <t>ZP08-1150-1</t>
  </si>
  <si>
    <t>30#</t>
  </si>
  <si>
    <t>LYG-QD(4240)-2024-D00279</t>
  </si>
  <si>
    <t>LYQ-QZGZ-202410-00001</t>
  </si>
  <si>
    <t>LYGQZ029374</t>
  </si>
  <si>
    <t>ZP08-1150-2</t>
  </si>
  <si>
    <t>31#</t>
  </si>
  <si>
    <t>LYG-QD(4240)-2024-D00283</t>
  </si>
  <si>
    <t>LYQ-QZWX-20257-00001</t>
  </si>
  <si>
    <t>LYGQZ029373</t>
  </si>
  <si>
    <t>ZP08-1150-8</t>
  </si>
  <si>
    <t>37#</t>
  </si>
  <si>
    <t>LYG-QD(4240)-2024-D00272</t>
  </si>
  <si>
    <t>LYQ-QZWX-20257-00004</t>
  </si>
  <si>
    <t>LYGQZ025229</t>
  </si>
  <si>
    <t>H10300406</t>
  </si>
  <si>
    <t>LYG-QD(4440)-2025-D00523</t>
  </si>
  <si>
    <t>LYGQZ024738</t>
  </si>
  <si>
    <t>ZP08-1150-5</t>
  </si>
  <si>
    <t>34#</t>
  </si>
  <si>
    <t>LYG-QD(4240)-2024-D00285</t>
  </si>
  <si>
    <t>LYGQZ025387</t>
  </si>
  <si>
    <t>DRT450</t>
  </si>
  <si>
    <t>H10301138</t>
  </si>
  <si>
    <t>LYG-QD(4440)-2025-D00522</t>
  </si>
  <si>
    <t>0.42/0.25</t>
  </si>
  <si>
    <t>LYGQZ025498</t>
  </si>
  <si>
    <t>RTG型 41t</t>
  </si>
  <si>
    <t>连云港新东方集装箱码头24-28泊位后方场地</t>
  </si>
  <si>
    <t>CQ02</t>
  </si>
  <si>
    <t>LYG-QD(4240)-2025-D00517</t>
  </si>
  <si>
    <t>0518-81768970</t>
  </si>
  <si>
    <t>江苏润邦工业装备有限公司</t>
  </si>
  <si>
    <t>52/26</t>
  </si>
  <si>
    <t>LYGQZ026241</t>
  </si>
  <si>
    <t>CQ01</t>
  </si>
  <si>
    <t>LYG-QD(4240)-2025-D00516</t>
  </si>
  <si>
    <t>CQ03</t>
  </si>
  <si>
    <t>LYGQZ025537</t>
  </si>
  <si>
    <t>LYG-QD(4240)-2025-D00518</t>
  </si>
  <si>
    <t>LYGQZ026783</t>
  </si>
  <si>
    <t>LYG-QD(4410)-2025-D00527</t>
  </si>
  <si>
    <t>连云港新东方国际货柜码头有限公司</t>
  </si>
  <si>
    <t>91320700663843789C</t>
  </si>
  <si>
    <t>LYGQZ041274</t>
  </si>
  <si>
    <t>SRSCE型 45t</t>
  </si>
  <si>
    <t>RS4500CE0095</t>
  </si>
  <si>
    <t>连云区新东方国际货柜码头场内</t>
  </si>
  <si>
    <t>江苏省连云港市连云区庙岭港区</t>
  </si>
  <si>
    <t>朱立冬</t>
  </si>
  <si>
    <t>ZD11</t>
  </si>
  <si>
    <t>LYG-QD(4440)-2025-D00478</t>
  </si>
  <si>
    <t>中云街道</t>
  </si>
  <si>
    <t>15年</t>
  </si>
  <si>
    <t>连云港经济技术开发区市场监督管理局</t>
  </si>
  <si>
    <t>技术管理部</t>
  </si>
  <si>
    <t>LYGQZ036796</t>
  </si>
  <si>
    <t>SRSC45V1A</t>
  </si>
  <si>
    <t>RS4501CB0032</t>
  </si>
  <si>
    <t>连云港经济技术开发区新光路6号</t>
  </si>
  <si>
    <t>朱立东</t>
  </si>
  <si>
    <t>LYG-QD(4440)-2024-D00716</t>
  </si>
  <si>
    <t>集装箱正面吊</t>
  </si>
  <si>
    <t>三一海洋重工有限公司</t>
  </si>
  <si>
    <t>25.2/15</t>
  </si>
  <si>
    <t>LYGQZ033406</t>
  </si>
  <si>
    <t>ZP型41T</t>
  </si>
  <si>
    <t>ZP15-2312-2</t>
  </si>
  <si>
    <t>连云港新东方国际货柜码头32#泊位</t>
  </si>
  <si>
    <t>张昕</t>
  </si>
  <si>
    <t>LYG-QD(4250)-2025-D00167</t>
  </si>
  <si>
    <t>岸桥集装箱起重机</t>
  </si>
  <si>
    <t>75-150</t>
  </si>
  <si>
    <t>LYGQZ033100</t>
  </si>
  <si>
    <t>MX61</t>
  </si>
  <si>
    <t>ZP04-532-3</t>
  </si>
  <si>
    <t>码头32#泊位</t>
  </si>
  <si>
    <t>AQ12</t>
  </si>
  <si>
    <t>LYG-QD(4250)-2023-D00914</t>
  </si>
  <si>
    <t>陈峰</t>
  </si>
  <si>
    <t>上海振华港口机械有限公司</t>
  </si>
  <si>
    <t>LYGQZ032350</t>
  </si>
  <si>
    <t>ZP15-2312-1</t>
  </si>
  <si>
    <t>LYG-QD(4250)-2025-D00166</t>
  </si>
  <si>
    <t>LYGQZ034378</t>
  </si>
  <si>
    <t>LYG-QD(4410)-2025-D00479</t>
  </si>
  <si>
    <t>安监部</t>
  </si>
  <si>
    <t>LYGQZ030590</t>
  </si>
  <si>
    <t>ZP04-532-1</t>
  </si>
  <si>
    <t>AQ10</t>
  </si>
  <si>
    <t>LYG-QD(4250)-2023-D00911</t>
  </si>
  <si>
    <t>LYGQZ030431</t>
  </si>
  <si>
    <t>MJ41</t>
  </si>
  <si>
    <t>JL107-05-989</t>
  </si>
  <si>
    <t>码头28#</t>
  </si>
  <si>
    <t>LYG-QD(4240)-2025-D00495</t>
  </si>
  <si>
    <t>LYGQZ030292</t>
  </si>
  <si>
    <t>JL107-05-981</t>
  </si>
  <si>
    <t>码头20#</t>
  </si>
  <si>
    <t>LYG-QD(4240)-2025-D00487</t>
  </si>
  <si>
    <t>LYGQZ030291</t>
  </si>
  <si>
    <t>JL107-05-972</t>
  </si>
  <si>
    <t>码头11#</t>
  </si>
  <si>
    <t>LYG-QD(4240)-2024-D00390</t>
  </si>
  <si>
    <t>徐啸</t>
  </si>
  <si>
    <t>23/52</t>
  </si>
  <si>
    <t>桥式起重机</t>
  </si>
  <si>
    <t>株洲起重机厂</t>
  </si>
  <si>
    <t>LYGQZ031442</t>
  </si>
  <si>
    <t>JL107-05-980</t>
  </si>
  <si>
    <t>码头19#</t>
  </si>
  <si>
    <t>LYG-QD(4240)-2025-D00489</t>
  </si>
  <si>
    <t>LYGQZ028136</t>
  </si>
  <si>
    <t>LD10</t>
  </si>
  <si>
    <t>LYGQZ028561</t>
  </si>
  <si>
    <t>MX41</t>
  </si>
  <si>
    <t>ZP04-531-1</t>
  </si>
  <si>
    <t>8#</t>
  </si>
  <si>
    <t>LYG-QD(4250)-2025-D00502</t>
  </si>
  <si>
    <t>LYGQZ028558</t>
  </si>
  <si>
    <t>JL107-05-983</t>
  </si>
  <si>
    <t>码头22#</t>
  </si>
  <si>
    <t>LYG-QD(4240)-2025-D00496</t>
  </si>
  <si>
    <t>LYGQZ028554</t>
  </si>
  <si>
    <t>JL107-05-977</t>
  </si>
  <si>
    <t>码头16#</t>
  </si>
  <si>
    <t>LYG-QD(4240)-2025-D00484</t>
  </si>
  <si>
    <t>LYGQZ028042</t>
  </si>
  <si>
    <t>JL107-05-982</t>
  </si>
  <si>
    <t>码头21#</t>
  </si>
  <si>
    <t>LYG-QD(4240)-2025-D00493</t>
  </si>
  <si>
    <t>轮胎式集装箱门式起重机机</t>
  </si>
  <si>
    <t>LYGQZ028041</t>
  </si>
  <si>
    <t>JL107-05-978</t>
  </si>
  <si>
    <t>码头17#</t>
  </si>
  <si>
    <t>LYG-QD(4240)-2025-D00488</t>
  </si>
  <si>
    <t>LYGQZ028039</t>
  </si>
  <si>
    <t>ZP04-532-2</t>
  </si>
  <si>
    <t>AQ11</t>
  </si>
  <si>
    <t>LYG-QD(4250)-2023-D00913</t>
  </si>
  <si>
    <t>LYGQZ027893</t>
  </si>
  <si>
    <t>JL107-05-976</t>
  </si>
  <si>
    <t>码头15#</t>
  </si>
  <si>
    <t>LYG-QD(4240)-2024-D00386</t>
  </si>
  <si>
    <t>LYGQZ027824</t>
  </si>
  <si>
    <t>JL107-05-975</t>
  </si>
  <si>
    <t>码头14#</t>
  </si>
  <si>
    <t>LYG-QD(4240)-2025-D00485</t>
  </si>
  <si>
    <t>LYGQZ027709</t>
  </si>
  <si>
    <t>JL107-05-974</t>
  </si>
  <si>
    <t>码头13#</t>
  </si>
  <si>
    <t>LYG-QD(4240)-2025-D00483</t>
  </si>
  <si>
    <t>LYGQZ027708</t>
  </si>
  <si>
    <t>JL107-05-973</t>
  </si>
  <si>
    <t>码头12#</t>
  </si>
  <si>
    <t>LYG-QD(4240)-2024-D00387</t>
  </si>
  <si>
    <t>LYGQZ027707</t>
  </si>
  <si>
    <t>JL107-05-971</t>
  </si>
  <si>
    <t>码头10#</t>
  </si>
  <si>
    <t>LYG-QD(4240)-2025-D00482</t>
  </si>
  <si>
    <t>LYGQZ027848</t>
  </si>
  <si>
    <t>ZP04-532-4</t>
  </si>
  <si>
    <t>AQ15</t>
  </si>
  <si>
    <t>LYG-QD(4250)-2023-D00912</t>
  </si>
  <si>
    <t>LYGQZ027989</t>
  </si>
  <si>
    <t>ZP04-531-2</t>
  </si>
  <si>
    <t>9#</t>
  </si>
  <si>
    <t>LYG-QD(4250)-2025-D00504</t>
  </si>
  <si>
    <t>LYGQZ027738</t>
  </si>
  <si>
    <t>JL107-05-990</t>
  </si>
  <si>
    <t>码头29#</t>
  </si>
  <si>
    <t>LYG-QD(4240)-2025-D00481</t>
  </si>
  <si>
    <t>LYGQZ027737</t>
  </si>
  <si>
    <t>JL107-05-988</t>
  </si>
  <si>
    <t>码头27#</t>
  </si>
  <si>
    <t>LYG-QD(4240)-2024-D00391</t>
  </si>
  <si>
    <t>LYGQZ027736</t>
  </si>
  <si>
    <t>JL107-05-987</t>
  </si>
  <si>
    <t>码头26#</t>
  </si>
  <si>
    <t>LYG-QD(4240)-2025-D00501</t>
  </si>
  <si>
    <t>LYGQZ027735</t>
  </si>
  <si>
    <t>JL107-05-986</t>
  </si>
  <si>
    <t>码头25#</t>
  </si>
  <si>
    <t>LYG-QD(4240)-2025-D00499</t>
  </si>
  <si>
    <t>LYGQZ028158</t>
  </si>
  <si>
    <t>LYG-QD(4250)-2024-D00398</t>
  </si>
  <si>
    <t>岸边集装箱门式起重机</t>
  </si>
  <si>
    <t>60-150</t>
  </si>
  <si>
    <t>60/150</t>
  </si>
  <si>
    <t>LYGQZ028157</t>
  </si>
  <si>
    <t>LYG-QD(4250)-2024-D00399</t>
  </si>
  <si>
    <t>LYGQZ028156</t>
  </si>
  <si>
    <t>LYG-QD(4250)-2024-D00397</t>
  </si>
  <si>
    <t>孙成东</t>
  </si>
  <si>
    <t>7#</t>
  </si>
  <si>
    <t>LYGQZ028296</t>
  </si>
  <si>
    <t>LD5t-16.5m A3</t>
  </si>
  <si>
    <t>LYG-QD(4170)-2024-D00372</t>
  </si>
  <si>
    <t>断火式高度限位器</t>
  </si>
  <si>
    <t>LYGQZ028520</t>
  </si>
  <si>
    <t>RTG51/23.47</t>
  </si>
  <si>
    <t xml:space="preserve">15GT041-2/01 </t>
  </si>
  <si>
    <t>码头8#</t>
  </si>
  <si>
    <t>LYG-QD(4240)-2024-D00389</t>
  </si>
  <si>
    <t>23/46</t>
  </si>
  <si>
    <t>诺尔起重设备（中国）有限公司</t>
  </si>
  <si>
    <t>LYGQZ028709</t>
  </si>
  <si>
    <t>JL107-05-984</t>
  </si>
  <si>
    <t>码头23#</t>
  </si>
  <si>
    <t>LYG-QD(4240)-2025-D00497</t>
  </si>
  <si>
    <t>LYGQZ028708</t>
  </si>
  <si>
    <t>JL107-05-979</t>
  </si>
  <si>
    <t>码头18#</t>
  </si>
  <si>
    <t>LYG-QD(4240)-2025-D00486</t>
  </si>
  <si>
    <t>LYGQZ028465</t>
  </si>
  <si>
    <t>LYG-QD(4410)-2025-D00480</t>
  </si>
  <si>
    <t>12#</t>
  </si>
  <si>
    <t>11#</t>
  </si>
  <si>
    <t>10#</t>
  </si>
  <si>
    <t>LYGQZ028221</t>
  </si>
  <si>
    <t>RSC45C</t>
  </si>
  <si>
    <t>12RS45010016</t>
  </si>
  <si>
    <t>LYG-QD(4440)-2024-D00714</t>
  </si>
  <si>
    <t>三一重工股份有限公司</t>
  </si>
  <si>
    <t>LYGQZ029896</t>
  </si>
  <si>
    <t>12RS45010017</t>
  </si>
  <si>
    <t>LYG-QD(4440)-2024-D00723</t>
  </si>
  <si>
    <t>LYGQZ029909</t>
  </si>
  <si>
    <t>15GT041-2/03</t>
  </si>
  <si>
    <t>码头7#</t>
  </si>
  <si>
    <t>LYG-QD(4240)-2024-D00392</t>
  </si>
  <si>
    <t>LYGQZ029589</t>
  </si>
  <si>
    <t>15GT041-2/02</t>
  </si>
  <si>
    <t>码头6#</t>
  </si>
  <si>
    <t>LYG-QD(4240)-2024-D00393</t>
  </si>
  <si>
    <t>LYGQZ028854</t>
  </si>
  <si>
    <t>15GT041-2/04</t>
  </si>
  <si>
    <t>码头9#</t>
  </si>
  <si>
    <t>LYG-QD(4240)-2024-D00388</t>
  </si>
  <si>
    <t>LYGQZ024457</t>
  </si>
  <si>
    <t>SRSC45C30</t>
  </si>
  <si>
    <t>13RS45300040</t>
  </si>
  <si>
    <t>LYG-QD(4440)-2024-D00715</t>
  </si>
  <si>
    <t>LYGQZ024231</t>
  </si>
  <si>
    <t>LYG-QD(4410)-2025-D00477</t>
  </si>
  <si>
    <t>技术安质部</t>
  </si>
  <si>
    <t>LYGQZ023926</t>
  </si>
  <si>
    <t>LYG-QD(4250)-2024-D00394</t>
  </si>
  <si>
    <t>LYGQZ022967</t>
  </si>
  <si>
    <t>JL107-05-985</t>
  </si>
  <si>
    <t>码头24#</t>
  </si>
  <si>
    <t>LYG-QD(4240)-2025-D00498</t>
  </si>
  <si>
    <t>江苏新龙港港口有限公司</t>
  </si>
  <si>
    <t>LYGQZ039481</t>
  </si>
  <si>
    <t>MQS型40t</t>
  </si>
  <si>
    <t>G289-1</t>
  </si>
  <si>
    <t>灌云县临港产业区黄海路18号新龙港码头2号泊位</t>
  </si>
  <si>
    <t>连云港市灌云县燕尾港镇港灌河港区</t>
  </si>
  <si>
    <t>闻晓波</t>
  </si>
  <si>
    <t>62-131-010</t>
  </si>
  <si>
    <t>姚望</t>
  </si>
  <si>
    <t>LYG-QD(4710)-2024-D00546</t>
  </si>
  <si>
    <t>MQS型40t门座起重机</t>
  </si>
  <si>
    <t>连云港市灌云县市场监督管理局</t>
  </si>
  <si>
    <t>GY-QZAZ-20226-00020</t>
  </si>
  <si>
    <t>50/60/70</t>
  </si>
  <si>
    <t>20/30</t>
  </si>
  <si>
    <t>LYGQZ039480</t>
  </si>
  <si>
    <t>G289-2</t>
  </si>
  <si>
    <t>62-131-011</t>
  </si>
  <si>
    <t>LYG-QD(4710)-2024-D00545</t>
  </si>
  <si>
    <t>GY-QZAZ-20226-00021</t>
  </si>
  <si>
    <t>LYGQZ037381</t>
  </si>
  <si>
    <t>MQ40t-45m   A8</t>
  </si>
  <si>
    <t>4710-1191</t>
  </si>
  <si>
    <t>连云港市灌云县燕尾港镇新龙港码头</t>
  </si>
  <si>
    <t>灌云县临港产业区黄海路18号</t>
  </si>
  <si>
    <t>梁金磊</t>
  </si>
  <si>
    <t>LYG-QD(4710)-2023-D00869</t>
  </si>
  <si>
    <t>南京港机重工制造有限公司</t>
  </si>
  <si>
    <t>60/70</t>
  </si>
  <si>
    <t>LYGQZ036397</t>
  </si>
  <si>
    <t>QD10t-28m A6</t>
  </si>
  <si>
    <t>20-609-1</t>
  </si>
  <si>
    <t>新龙港港口新建仓库北1</t>
  </si>
  <si>
    <t>连云港港灌河港区燕尾作业区</t>
  </si>
  <si>
    <t>62-135-001</t>
  </si>
  <si>
    <t>LYG-QD(4110)-2024-D00826</t>
  </si>
  <si>
    <t>1.5-15</t>
  </si>
  <si>
    <t>无锡国电华新起重运输设备有限公司</t>
  </si>
  <si>
    <t>LYGQZ036396</t>
  </si>
  <si>
    <t>20-609-3</t>
  </si>
  <si>
    <t>新龙港港口新建仓库南3</t>
  </si>
  <si>
    <t>62-135-003</t>
  </si>
  <si>
    <t>LYG-QD(4110)-2024-D00828</t>
  </si>
  <si>
    <t>LYGQZ036395</t>
  </si>
  <si>
    <t>20-609-2</t>
  </si>
  <si>
    <t>新龙港港口新建仓库北2</t>
  </si>
  <si>
    <t>62-135-002</t>
  </si>
  <si>
    <t>LYG-QD(4110)-2024-D00827</t>
  </si>
  <si>
    <t>LYGQZ036394</t>
  </si>
  <si>
    <t>20-609-4</t>
  </si>
  <si>
    <t>新龙港港口新建仓库南4</t>
  </si>
  <si>
    <t>62-135-004</t>
  </si>
  <si>
    <t>LYG-QD(4110)-2024-D00829</t>
  </si>
  <si>
    <t>LYGQZ033696</t>
  </si>
  <si>
    <t>QLY70</t>
  </si>
  <si>
    <t>刘子猷</t>
  </si>
  <si>
    <t>62-122-001</t>
  </si>
  <si>
    <t>LYG-QD(4410)-2025-D00587</t>
  </si>
  <si>
    <t>轮胎式起重机</t>
  </si>
  <si>
    <t>空钩：0~130/满载：0~53</t>
  </si>
  <si>
    <t>哈儿滨工程机械制造有限公司</t>
  </si>
  <si>
    <t>LYGQZ030300</t>
  </si>
  <si>
    <t>GYM2533</t>
  </si>
  <si>
    <t>GY-12-0158</t>
  </si>
  <si>
    <t>1#泊位</t>
  </si>
  <si>
    <t>LYG-QD(4710)-2025-D00589</t>
  </si>
  <si>
    <t>高博</t>
  </si>
  <si>
    <t>0518-88651928</t>
  </si>
  <si>
    <t>江苏港益重工股份有限公司</t>
  </si>
  <si>
    <t>55/30</t>
  </si>
  <si>
    <t>25/40</t>
  </si>
  <si>
    <t>LYGQZ030700</t>
  </si>
  <si>
    <t>GY-12-0159</t>
  </si>
  <si>
    <t>LYG-QD(4710)-2025-D00588</t>
  </si>
  <si>
    <t>LYGQZ026504</t>
  </si>
  <si>
    <t>LDY5-19.5 A6</t>
  </si>
  <si>
    <t>车间</t>
  </si>
  <si>
    <t>尹振威</t>
  </si>
  <si>
    <t>LYG-QD(4170)-2024-D00825</t>
  </si>
  <si>
    <t>8/2.67</t>
  </si>
  <si>
    <t>LYGQZ025728</t>
  </si>
  <si>
    <t>G207B-2</t>
  </si>
  <si>
    <t>1#码头</t>
  </si>
  <si>
    <t>江苏灌云县临港产业区黄海路18号</t>
  </si>
  <si>
    <t>62-131-004</t>
  </si>
  <si>
    <t>LYG-QD(4710)-2024-D00300</t>
  </si>
  <si>
    <t>70/60/(40-50)</t>
  </si>
  <si>
    <t>(-16-20)/(-16-30)</t>
  </si>
  <si>
    <t>LYGQZ025605</t>
  </si>
  <si>
    <t>G207B-1</t>
  </si>
  <si>
    <t>62-131-003</t>
  </si>
  <si>
    <t>LYG-QD(4710)-2024-D00299</t>
  </si>
  <si>
    <t>连云港新银湾码头有限公司</t>
  </si>
  <si>
    <t>91320707MA1MWQ1K4L</t>
  </si>
  <si>
    <t>LYGQZ040121</t>
  </si>
  <si>
    <t>MQ40t-45m    A8</t>
  </si>
  <si>
    <t>4710-1303</t>
  </si>
  <si>
    <t>通海大道南100米连云港新银湾码头5#泊位</t>
  </si>
  <si>
    <t>连云港市赣榆区柘汪镇响石村通海大道</t>
  </si>
  <si>
    <t>洪亮</t>
  </si>
  <si>
    <t>66-131-007</t>
  </si>
  <si>
    <t>张瑞</t>
  </si>
  <si>
    <t>LYG-QD(4710)-2025-E00154</t>
  </si>
  <si>
    <t>柘汪镇</t>
  </si>
  <si>
    <t>连云港市赣榆区市场监督管理局</t>
  </si>
  <si>
    <t>GYQ-QZAZ-202212-00017</t>
  </si>
  <si>
    <t>40/60</t>
  </si>
  <si>
    <t>LYGQZ040120</t>
  </si>
  <si>
    <t>4710-1302</t>
  </si>
  <si>
    <t>66-131-006</t>
  </si>
  <si>
    <t>LYG-QD(4710)-2025-E00153</t>
  </si>
  <si>
    <t>GYQ-QZAZ-202212-00016</t>
  </si>
  <si>
    <t>LYGQZ040119</t>
  </si>
  <si>
    <t>4710-1300</t>
  </si>
  <si>
    <t>66-131-008</t>
  </si>
  <si>
    <t>LYG-QD(4710)-2025-E00152</t>
  </si>
  <si>
    <t>GYQ-QZAZ-202212-00015</t>
  </si>
  <si>
    <t>LYGQZ040118</t>
  </si>
  <si>
    <t>4710-1299</t>
  </si>
  <si>
    <t>66-131-009</t>
  </si>
  <si>
    <t>LYG-QD(4710)-2025-E00151</t>
  </si>
  <si>
    <t>GYQ-QZAZ-202212-00013</t>
  </si>
  <si>
    <t>LYGQZ040117</t>
  </si>
  <si>
    <t>4710-1307</t>
  </si>
  <si>
    <t>通海大道连云港新银湾码头6#泊位</t>
  </si>
  <si>
    <t>66-131-013</t>
  </si>
  <si>
    <t>LYG-QD(4710)-2025-E00255</t>
  </si>
  <si>
    <t>GYQ-QZAZ-202212-00024</t>
  </si>
  <si>
    <t>LYGQZ040116</t>
  </si>
  <si>
    <t>4710-1306</t>
  </si>
  <si>
    <t>66-131-011</t>
  </si>
  <si>
    <t>LYG-QD(4710)-2025-E00254</t>
  </si>
  <si>
    <t>GYQ-QZAZ-202212-00023</t>
  </si>
  <si>
    <t>LYGQZ040115</t>
  </si>
  <si>
    <t>4710-1305</t>
  </si>
  <si>
    <t>66-131-014</t>
  </si>
  <si>
    <t>LYG-QD(4710)-2025-E00253</t>
  </si>
  <si>
    <t>GYQ-QZAZ-202212-00022</t>
  </si>
  <si>
    <t>LYGQZ040114</t>
  </si>
  <si>
    <t>4710-1304</t>
  </si>
  <si>
    <t>66-131-012</t>
  </si>
  <si>
    <t>LYG-QD(4710)-2025-E00252</t>
  </si>
  <si>
    <t>GYQ-QZAZ-202212-00021</t>
  </si>
  <si>
    <t>LYGQZ040113</t>
  </si>
  <si>
    <t>4710-1301</t>
  </si>
  <si>
    <t>66-131-015</t>
  </si>
  <si>
    <t>LYG-QD(4710)-2025-E00251</t>
  </si>
  <si>
    <t>GYQ-QZAZ-202212-00020</t>
  </si>
  <si>
    <t>LYGQZ040112</t>
  </si>
  <si>
    <t>4710-1298</t>
  </si>
  <si>
    <t>66-131-010</t>
  </si>
  <si>
    <t>LYG-QD(4710)-2025-E00250</t>
  </si>
  <si>
    <t>GYQ-QZAZ-202212-00019</t>
  </si>
  <si>
    <t>LYGQZ039968</t>
  </si>
  <si>
    <t>4710-1297</t>
  </si>
  <si>
    <t>通海大道南100米连云港新银湾码头4#泊位</t>
  </si>
  <si>
    <t>66-131-005</t>
  </si>
  <si>
    <t>LYG-QD(4710)-2025-E00037</t>
  </si>
  <si>
    <t>GYQ-QZAZ-20229-00019</t>
  </si>
  <si>
    <t>70/60/40</t>
  </si>
  <si>
    <t>LYGQZ039967</t>
  </si>
  <si>
    <t>4710-1296</t>
  </si>
  <si>
    <t>66-131-004</t>
  </si>
  <si>
    <t>LYG-QD(4710)-2025-E00036</t>
  </si>
  <si>
    <t>GYQ-QZAZ-20229-00018</t>
  </si>
  <si>
    <t>LYGQZ039966</t>
  </si>
  <si>
    <t>4710-1295</t>
  </si>
  <si>
    <t>66-131-003</t>
  </si>
  <si>
    <t>LYG-QD(4710)-2025-E00035</t>
  </si>
  <si>
    <t>GYQ-QZAZ-20229-00017</t>
  </si>
  <si>
    <t>LYGQZ039965</t>
  </si>
  <si>
    <t>4710-1294</t>
  </si>
  <si>
    <t>66-131-002</t>
  </si>
  <si>
    <t>LYG-QD(4710)-2025-E00034</t>
  </si>
  <si>
    <t>GYQ-QZAZ-20229-00016</t>
  </si>
  <si>
    <t>LYGQZ039964</t>
  </si>
  <si>
    <t>4710-1293</t>
  </si>
  <si>
    <t>66-131-001</t>
  </si>
  <si>
    <t>LYG-QD(4710)-2025-E00033</t>
  </si>
  <si>
    <t>GYQ-QZAZ-20229-00015</t>
  </si>
  <si>
    <t>连云港新海湾码头有限公司</t>
  </si>
  <si>
    <t>LYGQZ042264</t>
  </si>
  <si>
    <t>响石村新海湾码头</t>
  </si>
  <si>
    <t>江苏省连云港市赣榆区柘汪镇响石村新海湾码头</t>
  </si>
  <si>
    <t>樊赢</t>
  </si>
  <si>
    <t>19-122-006</t>
  </si>
  <si>
    <t>LYG-QJ(4410)-2025-00062</t>
  </si>
  <si>
    <t>QLY70轮胎起重机</t>
  </si>
  <si>
    <t>GYQ-QZAZ-20255-00002</t>
  </si>
  <si>
    <t>120/48</t>
  </si>
  <si>
    <t>LYGQZ041755</t>
  </si>
  <si>
    <t>SRSCE型45t</t>
  </si>
  <si>
    <t>RS4500CE0632</t>
  </si>
  <si>
    <t>江苏省连云港市赣榆区柘汪镇响石村委会赣榆港新海湾码头</t>
  </si>
  <si>
    <t>江苏省连云港市赣榆区柘汪镇赣榆港区新海湾码头</t>
  </si>
  <si>
    <t>李昱萱</t>
  </si>
  <si>
    <t>LYG-QJ(4440)-2024-E00195</t>
  </si>
  <si>
    <t>GYQ-QZAZ-202411-00008</t>
  </si>
  <si>
    <t>LYGQZ033592</t>
  </si>
  <si>
    <t>固定式起重机</t>
  </si>
  <si>
    <t>HGQ2012</t>
  </si>
  <si>
    <t>连云港市赣榆区柘汪镇榆港区通海大道</t>
  </si>
  <si>
    <t>连云港市赣榆区柘汪镇</t>
  </si>
  <si>
    <t>李鹏超</t>
  </si>
  <si>
    <t>朱天宇</t>
  </si>
  <si>
    <t>LYG-QD(4760)-2024-E00148</t>
  </si>
  <si>
    <t>无锡市天力机械制造有限公司</t>
  </si>
  <si>
    <t>LYGQZ033998</t>
  </si>
  <si>
    <t>LDA10-16.5</t>
  </si>
  <si>
    <t>江苏省连云港市赣榆县柘汪镇响石村</t>
  </si>
  <si>
    <t>LYG-QD(4170)-2024-E00096</t>
  </si>
  <si>
    <t>象王重工股份有限公司</t>
  </si>
  <si>
    <t>6.5/1.1</t>
  </si>
  <si>
    <t>LYGQZ033773</t>
  </si>
  <si>
    <t>MQ4043</t>
  </si>
  <si>
    <t>G112A-3</t>
  </si>
  <si>
    <t>新海湾通用码头</t>
  </si>
  <si>
    <t>LYG-QD(4710)-2025-E00561</t>
  </si>
  <si>
    <t>起重机械管理部</t>
  </si>
  <si>
    <t>70/50</t>
  </si>
  <si>
    <t>-19~32/-19~20</t>
  </si>
  <si>
    <t>LYGQZ034646</t>
  </si>
  <si>
    <t>MQ2537</t>
  </si>
  <si>
    <t>G112B-3</t>
  </si>
  <si>
    <t>LYG-QD(4710)-2025-E00560</t>
  </si>
  <si>
    <t>LYGQZ034532</t>
  </si>
  <si>
    <t>G112A-4</t>
  </si>
  <si>
    <t>LYG-QD(4710)-2025-E00559</t>
  </si>
  <si>
    <t>LYGQZ033841</t>
  </si>
  <si>
    <t>G112B-4</t>
  </si>
  <si>
    <t>LYG-QD(4710)-2025-E00558</t>
  </si>
  <si>
    <t>LYGQZ030003</t>
  </si>
  <si>
    <t>G112A-1</t>
  </si>
  <si>
    <t>LYG-QD(4710)-2025-E00557</t>
  </si>
  <si>
    <t>LYGQZ030553</t>
  </si>
  <si>
    <t>G112A-2</t>
  </si>
  <si>
    <t>LYG-QD(4710)-2025-E00556</t>
  </si>
  <si>
    <t>LYGQZ030919</t>
  </si>
  <si>
    <t>G112B-1</t>
  </si>
  <si>
    <t>LYG-QD(4710)-2025-E00555</t>
  </si>
  <si>
    <t>LYGQZ030475</t>
  </si>
  <si>
    <t>MQ型40t</t>
  </si>
  <si>
    <t>G176A-2</t>
  </si>
  <si>
    <t>新海湾码头</t>
  </si>
  <si>
    <t>连云港赣榆区柘汪镇响石村</t>
  </si>
  <si>
    <t>LYG-QD(4710)-2024-E00147</t>
  </si>
  <si>
    <t>55/60</t>
  </si>
  <si>
    <t>LYGQZ030008</t>
  </si>
  <si>
    <t>G176A-1</t>
  </si>
  <si>
    <t>赣榆柘汪镇码头</t>
  </si>
  <si>
    <t>连云港市赣榆区柘汪镇响石村</t>
  </si>
  <si>
    <t>19-131-13</t>
  </si>
  <si>
    <t>LYG-QD(4710)-2024-E00146</t>
  </si>
  <si>
    <t>0518-81762100</t>
  </si>
  <si>
    <t>LYGQZ030504</t>
  </si>
  <si>
    <t>G112B-2</t>
  </si>
  <si>
    <t>LYG-QD(4710)-2025-E00554</t>
  </si>
  <si>
    <t>青岛海西重机有限公司</t>
  </si>
  <si>
    <t>LYGQZ027799</t>
  </si>
  <si>
    <t>H10301090</t>
  </si>
  <si>
    <t>赣榆港港区</t>
  </si>
  <si>
    <t>19-515-002</t>
  </si>
  <si>
    <t>LYG-QD(4440)-2025-E00562</t>
  </si>
  <si>
    <t>设备管理部</t>
  </si>
  <si>
    <t>LYGQZ027800</t>
  </si>
  <si>
    <t>MQ40t-43m</t>
  </si>
  <si>
    <t>4710-980</t>
  </si>
  <si>
    <t>204泊位</t>
  </si>
  <si>
    <t>19-131-16</t>
  </si>
  <si>
    <t>LYG-QD(4710)-2024-E00754</t>
  </si>
  <si>
    <t>50/70</t>
  </si>
  <si>
    <t>LYGQZ027811</t>
  </si>
  <si>
    <t>4710-979</t>
  </si>
  <si>
    <t>19-131-15</t>
  </si>
  <si>
    <t>LYG-QD(4710)-2024-E00753</t>
  </si>
  <si>
    <t>李自强</t>
  </si>
  <si>
    <t>LYGQZ025443</t>
  </si>
  <si>
    <t>QLY40</t>
  </si>
  <si>
    <t>公司内</t>
  </si>
  <si>
    <t>LYG-QD(4410)-2024-E00859</t>
  </si>
  <si>
    <t>LYGQZ025142</t>
  </si>
  <si>
    <t>13RS45300223</t>
  </si>
  <si>
    <t>LYG-QD(4440)-2024-E00856</t>
  </si>
  <si>
    <t>LYGQZ024553</t>
  </si>
  <si>
    <t>LB5T-10.5M</t>
  </si>
  <si>
    <t>赣榆港区一期化工码头</t>
  </si>
  <si>
    <t>LYG-QD(4130)-2024-E00749</t>
  </si>
  <si>
    <t>防爆梁式起重机</t>
  </si>
  <si>
    <t>安全科</t>
  </si>
  <si>
    <t>LYGQZ029433</t>
  </si>
  <si>
    <t>响石村</t>
  </si>
  <si>
    <t>LYG-QD(4410)-2024-E00895</t>
  </si>
  <si>
    <t>LYGQZ029646</t>
  </si>
  <si>
    <t>LYG-QD(4410)-2024-E00858</t>
  </si>
  <si>
    <t>LYGQZ029136</t>
  </si>
  <si>
    <t>G112A-5</t>
  </si>
  <si>
    <t>LYG-QD(4710)-2025-E00553</t>
  </si>
  <si>
    <t>LYGQZ025116</t>
  </si>
  <si>
    <t>LYG-QD(4410)-2024-E00857</t>
  </si>
  <si>
    <t>LYGQZ026638</t>
  </si>
  <si>
    <t>G160-3</t>
  </si>
  <si>
    <t>柘汪镇赣榆码头</t>
  </si>
  <si>
    <t>LYG-QD(4710)-2024-E00145</t>
  </si>
  <si>
    <t>LYGQZ026045</t>
  </si>
  <si>
    <t>G160-1</t>
  </si>
  <si>
    <t>赣榆区柘汪镇码头</t>
  </si>
  <si>
    <t>LYG-QD(4710)-2024-E00144</t>
  </si>
  <si>
    <t>LYGQZ026813</t>
  </si>
  <si>
    <t>LDA10-13.3</t>
  </si>
  <si>
    <t>泵房车间</t>
  </si>
  <si>
    <t>胡继成</t>
  </si>
  <si>
    <t>LYG-QD(4170)-2024-E00142</t>
  </si>
  <si>
    <t>LYGQZ027602</t>
  </si>
  <si>
    <t>G160-2</t>
  </si>
  <si>
    <t>LYG-QD(4710)-2024-E00143</t>
  </si>
  <si>
    <t>连云港新苏港码头有限公司</t>
  </si>
  <si>
    <t>LYGQZ037255</t>
  </si>
  <si>
    <t>QD16-28.5 A5</t>
  </si>
  <si>
    <t>5#场物资仓库</t>
  </si>
  <si>
    <t>连云港市连云区中山东路2号</t>
  </si>
  <si>
    <t>江东彬</t>
  </si>
  <si>
    <t>LYG-QD(4110)-2025-D00460</t>
  </si>
  <si>
    <t>河南巨人起重机集团有限公司</t>
  </si>
  <si>
    <t>0.56-5.6</t>
  </si>
  <si>
    <t>LYGQZ030939</t>
  </si>
  <si>
    <t>UL3000t/h</t>
  </si>
  <si>
    <t>ZP07-969-1</t>
  </si>
  <si>
    <t>旗台港区25万吨矿石码头</t>
  </si>
  <si>
    <t>江苏省连云港市连云区新苏港码头</t>
  </si>
  <si>
    <t>李元旺</t>
  </si>
  <si>
    <t>1号</t>
  </si>
  <si>
    <t>LYG-QD(4280)-2023-D00892</t>
  </si>
  <si>
    <t>装卸桥（桥式抓斗卸船机）</t>
  </si>
  <si>
    <t>杜高振</t>
  </si>
  <si>
    <t>LYQ-QZGZ-20251-00001</t>
  </si>
  <si>
    <t>上海振华港口机械（集团）股份有限公司</t>
  </si>
  <si>
    <t>LYGQZ031587</t>
  </si>
  <si>
    <t>ZP07-969-4</t>
  </si>
  <si>
    <t>4号</t>
  </si>
  <si>
    <t>LYG-QD(4280)-2023-D00893</t>
  </si>
  <si>
    <t>LYGQZ031161</t>
  </si>
  <si>
    <t>LD10-19</t>
  </si>
  <si>
    <t>28号</t>
  </si>
  <si>
    <t>LYG-QD(4170)-2023-D00896</t>
  </si>
  <si>
    <t>电动单梁桥式起重机</t>
  </si>
  <si>
    <t>河南天力起重机械有限公司</t>
  </si>
  <si>
    <t>是,否</t>
  </si>
  <si>
    <t>LYGQZ031694</t>
  </si>
  <si>
    <t>ZP07-969-3</t>
  </si>
  <si>
    <t>3号</t>
  </si>
  <si>
    <t>LYG-QD(4280)-2023-D00894</t>
  </si>
  <si>
    <t>LYGQZ031446</t>
  </si>
  <si>
    <t>ZP07-969-2</t>
  </si>
  <si>
    <t>2号</t>
  </si>
  <si>
    <t>LYG-QD(4280)-2023-D00895</t>
  </si>
  <si>
    <t>LYGQZ029343</t>
  </si>
  <si>
    <t>MH3-10  A3</t>
  </si>
  <si>
    <t>LYG-QD(4270)-2023-D00897</t>
  </si>
  <si>
    <t>河南省大方重型机器有限公司</t>
  </si>
  <si>
    <t>连云港新云台码头有限公司</t>
  </si>
  <si>
    <t>91320700561846444M</t>
  </si>
  <si>
    <t>LYGQZ035684</t>
  </si>
  <si>
    <t>MJ41-10.5</t>
  </si>
  <si>
    <t>HD2002GJ01</t>
  </si>
  <si>
    <t>2020.05.28</t>
  </si>
  <si>
    <t>露天码头料场</t>
  </si>
  <si>
    <t>连云港市上合组织国际物流园烧香河路1号</t>
  </si>
  <si>
    <t>刘建明</t>
  </si>
  <si>
    <t>18-488-02</t>
  </si>
  <si>
    <t>LYG-QD(4230)-2024-D00514</t>
  </si>
  <si>
    <t>板桥街道</t>
  </si>
  <si>
    <t>无锡华东重型机械股份有限公司</t>
  </si>
  <si>
    <t>LYGQZ034882</t>
  </si>
  <si>
    <t>MQ2020</t>
  </si>
  <si>
    <t>新云台码头16-21#泊位</t>
  </si>
  <si>
    <t>连云开发区板桥工业园内</t>
  </si>
  <si>
    <t>张同华</t>
  </si>
  <si>
    <t>18-131-04</t>
  </si>
  <si>
    <t>LYG-QD(4710)-2024-D00205</t>
  </si>
  <si>
    <t>中国长江航运集团江兴港机厂</t>
  </si>
  <si>
    <t>50/60</t>
  </si>
  <si>
    <t>LYGQZ033830</t>
  </si>
  <si>
    <t>MQ1020</t>
  </si>
  <si>
    <t>WX278-1</t>
  </si>
  <si>
    <t>LYG-QD(4710)-2023-D00936</t>
  </si>
  <si>
    <t>24/20</t>
  </si>
  <si>
    <t>LYGQZ029954</t>
  </si>
  <si>
    <t>QLY25H</t>
  </si>
  <si>
    <t>18-122-003</t>
  </si>
  <si>
    <t>LYG-QD(4410)-2025-D00274</t>
  </si>
  <si>
    <t>LYGQZ030089</t>
  </si>
  <si>
    <t>18-122-004</t>
  </si>
  <si>
    <t>LYG-QD(4410)-2025-D00275</t>
  </si>
  <si>
    <t>LYGQZ030947</t>
  </si>
  <si>
    <t>SRSC45H1</t>
  </si>
  <si>
    <t>RS4501Y70184</t>
  </si>
  <si>
    <t>连云港市经济技术开发区板桥工业园内</t>
  </si>
  <si>
    <t>18-515-001</t>
  </si>
  <si>
    <t>LYG-QD(4440)-2025-D00646</t>
  </si>
  <si>
    <t>徐圩街道</t>
  </si>
  <si>
    <t>LYGQZ031827</t>
  </si>
  <si>
    <t>WX278-2</t>
  </si>
  <si>
    <t>LYG-QD(4710)-2023-D00935</t>
  </si>
  <si>
    <t>28/22</t>
  </si>
  <si>
    <t>LYGQZ028486</t>
  </si>
  <si>
    <t>LDA10-13.5A3</t>
  </si>
  <si>
    <t>物资仓库</t>
  </si>
  <si>
    <t>LYG-QD(4170)-2024-D00209</t>
  </si>
  <si>
    <t>LYGQZ028475</t>
  </si>
  <si>
    <t>QD10t-25.5m</t>
  </si>
  <si>
    <t>2016-106</t>
  </si>
  <si>
    <t>2#仓库</t>
  </si>
  <si>
    <t>18-351-005</t>
  </si>
  <si>
    <t>LYG-QD(4110)-2024-D00882</t>
  </si>
  <si>
    <t>0518-81768133</t>
  </si>
  <si>
    <t>1.5~15</t>
  </si>
  <si>
    <t>无锡市红旗起重设备有限公司</t>
  </si>
  <si>
    <t>LYGQZ029395</t>
  </si>
  <si>
    <t>LDA10-13.5 A3</t>
  </si>
  <si>
    <t>LYG-QD(4170)-2024-D00206</t>
  </si>
  <si>
    <t>LYGQZ029477</t>
  </si>
  <si>
    <t>18-131-01</t>
  </si>
  <si>
    <t>LYG-QD(4710)-2024-D00210</t>
  </si>
  <si>
    <t>LYGQZ029090</t>
  </si>
  <si>
    <t>连云港市上合组织（连云港）国际物流园烧香河路8号</t>
  </si>
  <si>
    <t>18-122-005</t>
  </si>
  <si>
    <t>LYG-QD(4410)-2025-D00645</t>
  </si>
  <si>
    <t>LYGQZ029105</t>
  </si>
  <si>
    <t>18-122-002</t>
  </si>
  <si>
    <t>LYG-QD(4410)-2025-D00255</t>
  </si>
  <si>
    <t>LYGQZ028862</t>
  </si>
  <si>
    <t>18-122-006</t>
  </si>
  <si>
    <t>LYG-QD(4410)-2025-D00644</t>
  </si>
  <si>
    <t>LYGQZ024437</t>
  </si>
  <si>
    <t>2016-105</t>
  </si>
  <si>
    <t>1#仓库</t>
  </si>
  <si>
    <t>18-351-004</t>
  </si>
  <si>
    <t>LYG-QD(4110)-2024-D00881</t>
  </si>
  <si>
    <t>LYGQZ024436</t>
  </si>
  <si>
    <t>2016-104</t>
  </si>
  <si>
    <t>18-351-003</t>
  </si>
  <si>
    <t>LYG-QD(4110)-2024-D00880</t>
  </si>
  <si>
    <t>LYGQZ025119</t>
  </si>
  <si>
    <t>2016-107</t>
  </si>
  <si>
    <t>18-351-006</t>
  </si>
  <si>
    <t>LYG-QD(4110)-2024-D00883</t>
  </si>
  <si>
    <t>LYGQZ024045</t>
  </si>
  <si>
    <t>GQ12T/16M</t>
  </si>
  <si>
    <t>18-133-001</t>
  </si>
  <si>
    <t>LYG-QD(4760)-2023-D00956</t>
  </si>
  <si>
    <t>扬州市鑫港起重机械制造有限公司</t>
  </si>
  <si>
    <t>LYGQZ023365</t>
  </si>
  <si>
    <t>18-133-004</t>
  </si>
  <si>
    <t>LYG-QD(4760)-2023-D00959</t>
  </si>
  <si>
    <t>LYGQZ023738</t>
  </si>
  <si>
    <t>2017-GJ19</t>
  </si>
  <si>
    <t>1#、2#泊位</t>
  </si>
  <si>
    <t>陈旧</t>
  </si>
  <si>
    <t>18-486-01</t>
  </si>
  <si>
    <t>LYG-QD(4230)-2025-D00647</t>
  </si>
  <si>
    <t>LYGQZ023666</t>
  </si>
  <si>
    <t>18-133-003</t>
  </si>
  <si>
    <t>LYG-QD(4760)-2023-D00958</t>
  </si>
  <si>
    <t>LYGQZ023665</t>
  </si>
  <si>
    <t>18-133-002</t>
  </si>
  <si>
    <t>LYG-QD(4760)-2023-D00957</t>
  </si>
  <si>
    <t>连云港港口控股集团徐圩有限公司</t>
  </si>
  <si>
    <t>91320700MA1MR5PH86</t>
  </si>
  <si>
    <t>LYGQZ036238</t>
  </si>
  <si>
    <t>LX3-3  A3</t>
  </si>
  <si>
    <t>泵房</t>
  </si>
  <si>
    <t>连云港市徐圩新区创投中心209</t>
  </si>
  <si>
    <t>宋鑫</t>
  </si>
  <si>
    <t>正在安装</t>
  </si>
  <si>
    <t>LYG-QD(4170)-2020-10992</t>
  </si>
  <si>
    <t>电动单梁悬挂起重机</t>
  </si>
  <si>
    <t>河南省路港起重机集团有限公司</t>
  </si>
  <si>
    <t>LYGQZ036274</t>
  </si>
  <si>
    <t>LYG-QD(4170)-2020-10993</t>
  </si>
  <si>
    <t>连云港港口控股集团灌云有限公司</t>
  </si>
  <si>
    <t>91320723MA1MAFJW7G</t>
  </si>
  <si>
    <t>LYGQZ035415</t>
  </si>
  <si>
    <t>C型45t</t>
  </si>
  <si>
    <t>C21543</t>
  </si>
  <si>
    <t>LYG-QD(4440)-2025-D00367</t>
  </si>
  <si>
    <t>集装箱正面吊运机</t>
  </si>
  <si>
    <t>科尼港口机械（上海）有限公司</t>
  </si>
  <si>
    <t>21/13.2</t>
  </si>
  <si>
    <t>LYGQZ025608</t>
  </si>
  <si>
    <t>G207A-1</t>
  </si>
  <si>
    <t>2#码头</t>
  </si>
  <si>
    <t>62-131-007</t>
  </si>
  <si>
    <t>LYG-QD(4710)-2024-D00302</t>
  </si>
  <si>
    <t>40/60/70</t>
  </si>
  <si>
    <t>(-18-20)/(-18-33)</t>
  </si>
  <si>
    <t>LYGQZ023630</t>
  </si>
  <si>
    <t>灌云县临港产业区管委会办公大楼801-805室</t>
  </si>
  <si>
    <t>LYG-QD(4710)-2025-D00591</t>
  </si>
  <si>
    <t>0518-81769528</t>
  </si>
  <si>
    <t>LYGQZ023629</t>
  </si>
  <si>
    <t>LYG-QD(4710)-2025-D00590</t>
  </si>
  <si>
    <t>LYGQZ023404</t>
  </si>
  <si>
    <t>G207A-2</t>
  </si>
  <si>
    <t>62-131-008</t>
  </si>
  <si>
    <t>LYG-QD(4710)-2024-D00301</t>
  </si>
  <si>
    <t>江苏连云港港口股份有限公司东方港务分公司</t>
  </si>
  <si>
    <t>91320703MA1W0XP82K</t>
  </si>
  <si>
    <t>LYGQZ039042</t>
  </si>
  <si>
    <t>QLY型32t</t>
  </si>
  <si>
    <t>墟沟西作业区场内流动</t>
  </si>
  <si>
    <t>连云港市连云区中山东路99号</t>
  </si>
  <si>
    <t>薛凯仁</t>
  </si>
  <si>
    <t>14-122-064</t>
  </si>
  <si>
    <t>LYG-QD(4410)-2025-D00279</t>
  </si>
  <si>
    <t>LYGQZ039045</t>
  </si>
  <si>
    <t>14-122-061</t>
  </si>
  <si>
    <t>LYG-QD(4410)-2025-D00281</t>
  </si>
  <si>
    <t>LYGQZ039043</t>
  </si>
  <si>
    <t>14-122-063</t>
  </si>
  <si>
    <t>LYG-QD(4410)-2025-D00283</t>
  </si>
  <si>
    <t>LYGQZ039044</t>
  </si>
  <si>
    <t>14-122-062</t>
  </si>
  <si>
    <t>LYG-QD(4410)-2025-D00282</t>
  </si>
  <si>
    <t>LYGQZ039046</t>
  </si>
  <si>
    <t>14-122-060</t>
  </si>
  <si>
    <t>LYG-QD(4410)-2025-D00286</t>
  </si>
  <si>
    <t>LYGQZ038945</t>
  </si>
  <si>
    <t>XCS型45t</t>
  </si>
  <si>
    <t>XUG0455ZCMAC00206</t>
  </si>
  <si>
    <t>2021.12.30</t>
  </si>
  <si>
    <t>江苏连云港港口股份有限公司东方港务分公司墟沟西作业区</t>
  </si>
  <si>
    <t>LYG-QD(4440)-2024-D00726</t>
  </si>
  <si>
    <t>徐州徐工港口机械有限公司</t>
  </si>
  <si>
    <t>LYGQZ038944</t>
  </si>
  <si>
    <t>XUG0455ZTMAC00207</t>
  </si>
  <si>
    <t>LYG-QD(4440)-2024-D00724</t>
  </si>
  <si>
    <t>LYGQZ038661</t>
  </si>
  <si>
    <t>XUG0455ZTMAC00112</t>
  </si>
  <si>
    <t>2021.10.26</t>
  </si>
  <si>
    <t>张乐</t>
  </si>
  <si>
    <t>14-515-006</t>
  </si>
  <si>
    <t>LYG-QD(4440)-2024-D00725</t>
  </si>
  <si>
    <t>LYGQZ042279</t>
  </si>
  <si>
    <t>XCSE型45t</t>
  </si>
  <si>
    <t>XUG4531EERAC00301</t>
  </si>
  <si>
    <t>东方港务分公司场内（马腰）</t>
  </si>
  <si>
    <t>东方港务分公司场内</t>
  </si>
  <si>
    <t>金艳恒</t>
  </si>
  <si>
    <t>11-515-006</t>
  </si>
  <si>
    <t>LYG-QJ(4440)-2025-00102</t>
  </si>
  <si>
    <t>27.6/15</t>
  </si>
  <si>
    <t>LYGQZ042213</t>
  </si>
  <si>
    <t>LYGQZ042042</t>
  </si>
  <si>
    <t>东方港务公司马腰厂区</t>
  </si>
  <si>
    <t>江苏省连云港市中山东路99号</t>
  </si>
  <si>
    <t>胡书建</t>
  </si>
  <si>
    <t>11-122-101</t>
  </si>
  <si>
    <t>LYG-QJ(4410)-2025-D00100</t>
  </si>
  <si>
    <t>75/105</t>
  </si>
  <si>
    <t>LYGQZ042041</t>
  </si>
  <si>
    <t>11-122-100</t>
  </si>
  <si>
    <t>LYG-QJ(4410)-2025-D00099</t>
  </si>
  <si>
    <t>LYGQZ042040</t>
  </si>
  <si>
    <t>11-122-99</t>
  </si>
  <si>
    <t>LYG-QJ(4410)-2025-D00097</t>
  </si>
  <si>
    <t>LYGQZ042039</t>
  </si>
  <si>
    <t>11-122-98</t>
  </si>
  <si>
    <t>LYG-QJ(4410)-2025-D00098</t>
  </si>
  <si>
    <t>墟沟西作业区</t>
  </si>
  <si>
    <t>LYGQZ041784</t>
  </si>
  <si>
    <t>QLY型70t</t>
  </si>
  <si>
    <t>港口墟沟西作业区</t>
  </si>
  <si>
    <t xml:space="preserve">14-122-067 </t>
  </si>
  <si>
    <t>LYG-QJ(4410)-2025-D00055</t>
  </si>
  <si>
    <t>LYGQZ041783</t>
  </si>
  <si>
    <t>QLY型95t</t>
  </si>
  <si>
    <t>马腰作业区内</t>
  </si>
  <si>
    <t>11-122-097</t>
  </si>
  <si>
    <t>LYG-QJ(4410)-2025-D00056</t>
  </si>
  <si>
    <t>LYGQZ041060</t>
  </si>
  <si>
    <t>MQS型50t</t>
  </si>
  <si>
    <t>G313-1</t>
  </si>
  <si>
    <t>墟沟东作业区57泊位</t>
  </si>
  <si>
    <t>吴兴洲</t>
  </si>
  <si>
    <t>12-131-017</t>
  </si>
  <si>
    <t>LYG-QJ(4710)-2024-D00050</t>
  </si>
  <si>
    <t>MQS型50t门座起重机</t>
  </si>
  <si>
    <t>LYQ-QZAZ-20241-00003</t>
  </si>
  <si>
    <t>60/40/70</t>
  </si>
  <si>
    <t>35/22</t>
  </si>
  <si>
    <t>LYGQZ041059</t>
  </si>
  <si>
    <t>G313-2</t>
  </si>
  <si>
    <t>12-131-018</t>
  </si>
  <si>
    <t>LYG-QJ(4710)-2024-D00049</t>
  </si>
  <si>
    <t>LYQ-QZAZ-20241-00004</t>
  </si>
  <si>
    <t>LYGQZ040748</t>
  </si>
  <si>
    <t>11-122-096</t>
  </si>
  <si>
    <t>LYG-QD(4410)-2024-D00877</t>
  </si>
  <si>
    <t>20/14</t>
  </si>
  <si>
    <t>LYGQZ040747</t>
  </si>
  <si>
    <t>马腰作业区</t>
  </si>
  <si>
    <t>11-122-095</t>
  </si>
  <si>
    <t>LYG-QD(4410)-2024-D00876</t>
  </si>
  <si>
    <t>江苏连云港港口股份有限公司</t>
  </si>
  <si>
    <t>连云区庙岭港区港口四路8号</t>
  </si>
  <si>
    <t>LYGQZ040294</t>
  </si>
  <si>
    <t>厂内流动</t>
  </si>
  <si>
    <t>连云港市港口集团马腰作业区</t>
  </si>
  <si>
    <t>11-515-005</t>
  </si>
  <si>
    <t>LYG-QD(4440)-2025-D00314</t>
  </si>
  <si>
    <t>7/4.2</t>
  </si>
  <si>
    <t>LYGQZ039722</t>
  </si>
  <si>
    <t>港口西作业区场内</t>
  </si>
  <si>
    <t>LYG-QD(4410)-2024-D00727</t>
  </si>
  <si>
    <t>0-130</t>
  </si>
  <si>
    <t>0-19.5</t>
  </si>
  <si>
    <t>LYGQZ039721</t>
  </si>
  <si>
    <t>LYG-QD(4410)-2024-D00728</t>
  </si>
  <si>
    <t>LYGQZ037429</t>
  </si>
  <si>
    <t>墟沟作业区场内流动</t>
  </si>
  <si>
    <t>张津铭</t>
  </si>
  <si>
    <t>14-122-058</t>
  </si>
  <si>
    <t>LYG-QD(4410)-2025-D00291</t>
  </si>
  <si>
    <t>LYGQZ037428</t>
  </si>
  <si>
    <t>14-122-057</t>
  </si>
  <si>
    <t>LYG-QD(4410)-2025-D00278</t>
  </si>
  <si>
    <t>LYGQZ037434</t>
  </si>
  <si>
    <t>14-122-059</t>
  </si>
  <si>
    <t>LYG-QD(4410)-2025-D00280</t>
  </si>
  <si>
    <t>LYGQZ035750</t>
  </si>
  <si>
    <t>RS4501CA0162</t>
  </si>
  <si>
    <t>朱国涛</t>
  </si>
  <si>
    <t>14-515-005</t>
  </si>
  <si>
    <t>LYG-QD(4440)-2025-D00301</t>
  </si>
  <si>
    <t>戴达</t>
  </si>
  <si>
    <t>LYGQZ032882</t>
  </si>
  <si>
    <t>MC40T</t>
  </si>
  <si>
    <t>ZP09-1411-2</t>
  </si>
  <si>
    <t>58泊位</t>
  </si>
  <si>
    <t>连云港市连云区庙岭港区港口四路8号</t>
  </si>
  <si>
    <t>朱先松</t>
  </si>
  <si>
    <t>6#门机</t>
  </si>
  <si>
    <t>LYG-QD(4710)-2025-D00689</t>
  </si>
  <si>
    <t>何海丰</t>
  </si>
  <si>
    <t>50-70</t>
  </si>
  <si>
    <t>LYGQZ035555</t>
  </si>
  <si>
    <t>MQ40-37</t>
  </si>
  <si>
    <t>ZP09-1410-7</t>
  </si>
  <si>
    <t>马腰作业区81#泊位</t>
  </si>
  <si>
    <t>11-131-067</t>
  </si>
  <si>
    <t>LYG-QD(4710)-2024-D00357</t>
  </si>
  <si>
    <t>(-19-30)/(-19-20)</t>
  </si>
  <si>
    <t>LYGQZ035500</t>
  </si>
  <si>
    <t>MQ16-33 A8</t>
  </si>
  <si>
    <t>墟沟西作业区61#泊位</t>
  </si>
  <si>
    <t>14-131-013</t>
  </si>
  <si>
    <t>LYG-QD(4710)-2024-D00227</t>
  </si>
  <si>
    <t>宜昌红光港机厂</t>
  </si>
  <si>
    <t>60/35</t>
  </si>
  <si>
    <t>（-16-28)/(-16-20)</t>
  </si>
  <si>
    <t>张旸</t>
  </si>
  <si>
    <t>哈尔滨工程制造厂</t>
  </si>
  <si>
    <t>LYGQZ032627</t>
  </si>
  <si>
    <t>LD5-10.55 A3</t>
  </si>
  <si>
    <t>马腰作业区机修车间南跨</t>
  </si>
  <si>
    <t>LYG-QD(4170)-2023-D01036</t>
  </si>
  <si>
    <t>LYGQZ032626</t>
  </si>
  <si>
    <t>LD10-16.52A3</t>
  </si>
  <si>
    <t>墟沟西作业区修造车间车间外2#车</t>
  </si>
  <si>
    <t>LYG-QD(4170)-2023-D00978</t>
  </si>
  <si>
    <t>LYGQZ032037</t>
  </si>
  <si>
    <t>LD5-10.48 A3</t>
  </si>
  <si>
    <t>马腰作业区机修车间北跨</t>
  </si>
  <si>
    <t>LYG-QD(4170)-2023-D01035</t>
  </si>
  <si>
    <t>LYGQZ032295</t>
  </si>
  <si>
    <t>墟沟西作业区修造车间车间外1#车</t>
  </si>
  <si>
    <t>LYG-QD(4170)-2023-D00977</t>
  </si>
  <si>
    <t>LYGQZ033166</t>
  </si>
  <si>
    <t>DRU450</t>
  </si>
  <si>
    <t>H11600197</t>
  </si>
  <si>
    <t>马腰作业区场内流动</t>
  </si>
  <si>
    <t>刘先磊</t>
  </si>
  <si>
    <t>11-515-003</t>
  </si>
  <si>
    <t>LYG-QD(4440)-2025-D00312</t>
  </si>
  <si>
    <t>LYGQZ034198</t>
  </si>
  <si>
    <t>11-122-089</t>
  </si>
  <si>
    <t>LYG-QD(4410)-2025-D00317</t>
  </si>
  <si>
    <t>LYGQZ033560</t>
  </si>
  <si>
    <t>马腰作业区6泊位</t>
  </si>
  <si>
    <t>11-131-009</t>
  </si>
  <si>
    <t>LYG-QD(4710)-2025-D00091</t>
  </si>
  <si>
    <t>LYGQZ034153</t>
  </si>
  <si>
    <t>11-122-092</t>
  </si>
  <si>
    <t>LYG-QD(4410)-2025-D00330</t>
  </si>
  <si>
    <t>LYGQZ034172</t>
  </si>
  <si>
    <t>LD10-19.05 A3</t>
  </si>
  <si>
    <t>工具队维修车间</t>
  </si>
  <si>
    <t>14-135-009</t>
  </si>
  <si>
    <t>LYG-QD(4170)-2024-D00721</t>
  </si>
  <si>
    <t>河南振强起重机械有限公司</t>
  </si>
  <si>
    <t>LYGQZ034802</t>
  </si>
  <si>
    <t>机械队维修车间</t>
  </si>
  <si>
    <t>14-135-008</t>
  </si>
  <si>
    <t>LYG-QD(4170)-2024-D00722</t>
  </si>
  <si>
    <t>LYGQZ034801</t>
  </si>
  <si>
    <t>G115-3</t>
  </si>
  <si>
    <t>墟沟西作业区64泊位</t>
  </si>
  <si>
    <t>14-131-028</t>
  </si>
  <si>
    <t>LYG-QD(4710)-2024-D00734</t>
  </si>
  <si>
    <t>60/50</t>
  </si>
  <si>
    <t>(-15-20)/(-15-28)</t>
  </si>
  <si>
    <t>LYGQZ034886</t>
  </si>
  <si>
    <t>ZJ13-1084-4</t>
  </si>
  <si>
    <t>东源公司57#泊位</t>
  </si>
  <si>
    <t>LYG-QD(4710)-2024-D00152</t>
  </si>
  <si>
    <t>夏正</t>
  </si>
  <si>
    <t>LYGQZ034885</t>
  </si>
  <si>
    <t>ZJ13-1084-2</t>
  </si>
  <si>
    <t>LYG-QD(4710)-2024-D00156</t>
  </si>
  <si>
    <t>LYGQZ034640</t>
  </si>
  <si>
    <t>G115-2</t>
  </si>
  <si>
    <t>墟沟西作业区62泊位</t>
  </si>
  <si>
    <t>14-131-027</t>
  </si>
  <si>
    <t>LYG-QD(4710)-2024-D00733</t>
  </si>
  <si>
    <t>LYGQZ034225</t>
  </si>
  <si>
    <t>G115-1</t>
  </si>
  <si>
    <t>14-131-026</t>
  </si>
  <si>
    <t>LYG-QD(4710)-2024-D00732</t>
  </si>
  <si>
    <t>LYGQZ034479</t>
  </si>
  <si>
    <t>墟沟西作业区码头</t>
  </si>
  <si>
    <t>14-131-016</t>
  </si>
  <si>
    <t>LYG-QD(4710)-2025-D00163</t>
  </si>
  <si>
    <t>575/528</t>
  </si>
  <si>
    <t>上海港通公司</t>
  </si>
  <si>
    <t>35/60</t>
  </si>
  <si>
    <t>(-16-28)/(-16-20)</t>
  </si>
  <si>
    <t>25/16</t>
  </si>
  <si>
    <t>LYGQZ034890</t>
  </si>
  <si>
    <t>ZJ13-1084-1</t>
  </si>
  <si>
    <t>LYG-QD(4710)-2024-D00153</t>
  </si>
  <si>
    <t>LYGQZ034889</t>
  </si>
  <si>
    <t>ZJ13-1084-3</t>
  </si>
  <si>
    <t>LYG-QD(4710)-2024-D00154</t>
  </si>
  <si>
    <t>LYGQZ030649</t>
  </si>
  <si>
    <t>11-122-076</t>
  </si>
  <si>
    <t>LYG-QD(4410)-2025-D00316</t>
  </si>
  <si>
    <t>LYGQZ030802</t>
  </si>
  <si>
    <t>MQ40</t>
  </si>
  <si>
    <t>07-1685-04</t>
  </si>
  <si>
    <t>东方港务分公司58泊位</t>
  </si>
  <si>
    <t>12－131－01</t>
  </si>
  <si>
    <t>LYG-QD(4710)-2023-D00521</t>
  </si>
  <si>
    <t>门座式起重机</t>
  </si>
  <si>
    <t>LYQ-QZWX-20243-00001</t>
  </si>
  <si>
    <t>上海港机重工有限公司</t>
  </si>
  <si>
    <t>LYGQZ030659</t>
  </si>
  <si>
    <t>94-1251-1</t>
  </si>
  <si>
    <t>14-131-001</t>
  </si>
  <si>
    <t>LYG-QD(4710)-2024-D00731</t>
  </si>
  <si>
    <t>60/30</t>
  </si>
  <si>
    <t>(-15-19)/(-15-28)</t>
  </si>
  <si>
    <t>16/25</t>
  </si>
  <si>
    <t>LYGQZ034297</t>
  </si>
  <si>
    <t>QD10-13.5A6</t>
  </si>
  <si>
    <t>东源港务分公司大件库</t>
  </si>
  <si>
    <t>LYG-QD(4110)-2025-D00685</t>
  </si>
  <si>
    <t>LYGQZ030794</t>
  </si>
  <si>
    <t>2006-20</t>
  </si>
  <si>
    <t>66#泊位</t>
  </si>
  <si>
    <t>14-131-022</t>
  </si>
  <si>
    <t>LYG-QJ(4710)-2024-D00057</t>
  </si>
  <si>
    <t>14年</t>
  </si>
  <si>
    <t>修理监检</t>
  </si>
  <si>
    <t>LYQ-QZWX-20237-00001</t>
  </si>
  <si>
    <t>中国长江航运集团红光港机厂</t>
  </si>
  <si>
    <t>LYGQZ030427</t>
  </si>
  <si>
    <t>LD10-19.04A3</t>
  </si>
  <si>
    <t>机修车间南台</t>
  </si>
  <si>
    <t>14-135-010</t>
  </si>
  <si>
    <t>LYG-QD(4170)-2024-D00718</t>
  </si>
  <si>
    <t>LYGQZ029988</t>
  </si>
  <si>
    <t>ZJ12-1042-1</t>
  </si>
  <si>
    <t>8#门机</t>
  </si>
  <si>
    <t>LYG-QD(4710)-2025-D00687</t>
  </si>
  <si>
    <t>LYGQZ030829</t>
  </si>
  <si>
    <t>M16t-33m/25t-25m</t>
  </si>
  <si>
    <t>4710-246</t>
  </si>
  <si>
    <t>马腰作业区9泊位</t>
  </si>
  <si>
    <t>11-131-036</t>
  </si>
  <si>
    <t>LYG-QD(4710)-2025-D00089</t>
  </si>
  <si>
    <t>528/625</t>
  </si>
  <si>
    <t>55/27.5</t>
  </si>
  <si>
    <t>LYGQZ030828</t>
  </si>
  <si>
    <t>江苏连云港港口股份有限公司东方港务分公司64#泊位</t>
  </si>
  <si>
    <t>14-131-015</t>
  </si>
  <si>
    <t>LYG-QD(4710)-2025-D00297</t>
  </si>
  <si>
    <t>16年</t>
  </si>
  <si>
    <t>上海港通科技发展有限公司</t>
  </si>
  <si>
    <t>28/20</t>
  </si>
  <si>
    <t>LYGQZ029939</t>
  </si>
  <si>
    <t>LD3-12.8</t>
  </si>
  <si>
    <t>备料车间</t>
  </si>
  <si>
    <t>LYG-QD(4170)-2025-D00466</t>
  </si>
  <si>
    <t>河南矿山机械厂</t>
  </si>
  <si>
    <t>LYGQZ030359</t>
  </si>
  <si>
    <t>ZJ12-1042-2</t>
  </si>
  <si>
    <t>7#门机</t>
  </si>
  <si>
    <t>LYG-QD(4710)-2025-D00686</t>
  </si>
  <si>
    <t>LYGQZ031471</t>
  </si>
  <si>
    <t>MQ25-33</t>
  </si>
  <si>
    <t>06-1596-2</t>
  </si>
  <si>
    <t>14-131-023</t>
  </si>
  <si>
    <t>LYG-QD(4710)-2025-D00292</t>
  </si>
  <si>
    <t>355-710</t>
  </si>
  <si>
    <t>LYGQZ031054</t>
  </si>
  <si>
    <t>07-1685-2</t>
  </si>
  <si>
    <t>14-131-024</t>
  </si>
  <si>
    <t>LYG-QD(4710)-2025-D00300</t>
  </si>
  <si>
    <t>LYGQZ031254</t>
  </si>
  <si>
    <t>ZP09-1411-1</t>
  </si>
  <si>
    <t>58号泊位</t>
  </si>
  <si>
    <t>5#门机</t>
  </si>
  <si>
    <t>LYG-QD(4710)-2025-D00688</t>
  </si>
  <si>
    <t>LYGQZ031116</t>
  </si>
  <si>
    <t>LDA10</t>
  </si>
  <si>
    <t>修造车间南跨</t>
  </si>
  <si>
    <t>东1</t>
  </si>
  <si>
    <t>LYG-QD(4170)-2018-0435</t>
  </si>
  <si>
    <t>河南卫华起重机厂</t>
  </si>
  <si>
    <t>LYGQZ030678</t>
  </si>
  <si>
    <t>14-122-051</t>
  </si>
  <si>
    <t>LYG-QD(4410)-2025-D00277</t>
  </si>
  <si>
    <t>LYGQZ030100</t>
  </si>
  <si>
    <t>MQ12t-33m A8</t>
  </si>
  <si>
    <t>马腰作业区12#泊位</t>
  </si>
  <si>
    <t>11-131-034</t>
  </si>
  <si>
    <t>LYG-QD(4710)-2025-D00087</t>
  </si>
  <si>
    <t>LYGQZ031191</t>
  </si>
  <si>
    <t>MQ16t-33m/25t-25m</t>
  </si>
  <si>
    <t>4710-325</t>
  </si>
  <si>
    <t>马腰作业区12泊位</t>
  </si>
  <si>
    <t>11-131-038</t>
  </si>
  <si>
    <t>LYG-QD(4710)-2025-D00090</t>
  </si>
  <si>
    <t>(-15-28)/(-15-20)</t>
  </si>
  <si>
    <t>LYGQZ031334</t>
  </si>
  <si>
    <t>07-1685-1</t>
  </si>
  <si>
    <t>江苏省连云港市连云区大港路东方港务分公司墟沟西作业区</t>
  </si>
  <si>
    <t>14-131-025</t>
  </si>
  <si>
    <t>LYG-QD(4710)-2023-D00338</t>
  </si>
  <si>
    <t>LYQ-QZWX-20245-00001</t>
  </si>
  <si>
    <t>LYGQZ031415</t>
  </si>
  <si>
    <t>07-1685-03</t>
  </si>
  <si>
    <t>李祥乐</t>
  </si>
  <si>
    <t>12－131－02</t>
  </si>
  <si>
    <t>LYG-QD(4710)-2025-D00467</t>
  </si>
  <si>
    <t>门式起重机</t>
  </si>
  <si>
    <t>LYQ-QZWX-20254-00013</t>
  </si>
  <si>
    <t>墟沟东技术设备室</t>
  </si>
  <si>
    <t>LYGQZ031346</t>
  </si>
  <si>
    <t>07-1685-02</t>
  </si>
  <si>
    <t>墟沟东作业区码头58#泊位</t>
  </si>
  <si>
    <t>12-131-02</t>
  </si>
  <si>
    <t>LYG-QD(4710)-2024-D00797</t>
  </si>
  <si>
    <t>LYGQZ031345</t>
  </si>
  <si>
    <t>07-1685-01</t>
  </si>
  <si>
    <t>12－131－002</t>
  </si>
  <si>
    <t>LYG-QD(4710)-2025-D00468</t>
  </si>
  <si>
    <t>LYGQZ031721</t>
  </si>
  <si>
    <t>MQ16t/33m-25t/25m</t>
  </si>
  <si>
    <t>4710-397</t>
  </si>
  <si>
    <t>马腰作业区11#泊位</t>
  </si>
  <si>
    <t>11-131-040</t>
  </si>
  <si>
    <t>LYG-QJ(4710)-2023-D00234</t>
  </si>
  <si>
    <t>LYQ-QZWX-202211-00001</t>
  </si>
  <si>
    <t>20/28</t>
  </si>
  <si>
    <t>LYGQZ031720</t>
  </si>
  <si>
    <t>M16t-33m/25t-25m A8</t>
  </si>
  <si>
    <t>11-131-039</t>
  </si>
  <si>
    <t>LYG-QD(4710)-2024-D00586</t>
  </si>
  <si>
    <t>LYGQZ031798</t>
  </si>
  <si>
    <t>4710-326</t>
  </si>
  <si>
    <t>江苏连云港港口股份有限公司东方港务分公司11泊位</t>
  </si>
  <si>
    <t>11-131-037</t>
  </si>
  <si>
    <t>LYG-QD(4710)-2024-D00584</t>
  </si>
  <si>
    <t>LYQ-QZAZ-20229-00002</t>
  </si>
  <si>
    <t>Unknow</t>
  </si>
  <si>
    <t>LYGQZ031785</t>
  </si>
  <si>
    <t>UNKNOW</t>
  </si>
  <si>
    <t>LYGQZ031919</t>
  </si>
  <si>
    <t>ZJ13-1084-5</t>
  </si>
  <si>
    <t>LYG-QD(4710)-2024-D00158</t>
  </si>
  <si>
    <t>LYGQZ028245</t>
  </si>
  <si>
    <t>69泊位</t>
  </si>
  <si>
    <t>LYG-QD(4710)-2023-D00982</t>
  </si>
  <si>
    <t>中国长航红光港机厂</t>
  </si>
  <si>
    <t>LYGQZ028079</t>
  </si>
  <si>
    <t>06-1596-1</t>
  </si>
  <si>
    <t>67泊位</t>
  </si>
  <si>
    <t>LYG-QD(4710)-2023-D00983</t>
  </si>
  <si>
    <t>LYGQZ028078</t>
  </si>
  <si>
    <t>2006-19</t>
  </si>
  <si>
    <t>14-131-021</t>
  </si>
  <si>
    <t>LYG-QD(4710)-2025-D00299</t>
  </si>
  <si>
    <t>LYGQZ028362</t>
  </si>
  <si>
    <t>06-1597-2</t>
  </si>
  <si>
    <t>14-131-020</t>
  </si>
  <si>
    <t>LYG-QD(4710)-2025-D00298</t>
  </si>
  <si>
    <t>LYGQZ028361</t>
  </si>
  <si>
    <t>MQ40-35</t>
  </si>
  <si>
    <t>06-1598-1</t>
  </si>
  <si>
    <t>14-131-019</t>
  </si>
  <si>
    <t>LYG-QD(4710)-2024-D00730</t>
  </si>
  <si>
    <t>LYGQZ028360</t>
  </si>
  <si>
    <t>06-1597-1</t>
  </si>
  <si>
    <t>14-131-017</t>
  </si>
  <si>
    <t>LYG-QD(4710)-2025-D00296</t>
  </si>
  <si>
    <t>LYGQZ028668</t>
  </si>
  <si>
    <t>14-131-002</t>
  </si>
  <si>
    <t>LYG-QD(4710)-2021-02599</t>
  </si>
  <si>
    <t>LYGQZ028666</t>
  </si>
  <si>
    <t>MQ12-33</t>
  </si>
  <si>
    <t>11-131-032</t>
  </si>
  <si>
    <t>LYG-QD(4710)-2024-D00585</t>
  </si>
  <si>
    <t>LYGQZ028665</t>
  </si>
  <si>
    <t>11-131-031</t>
  </si>
  <si>
    <t>LYG-QD(4710)-2024-D00350</t>
  </si>
  <si>
    <t>LYGQZ028165</t>
  </si>
  <si>
    <t>11-131-030</t>
  </si>
  <si>
    <t>LYG-QD(4710)-2024-D00583</t>
  </si>
  <si>
    <t>LYGQZ028164</t>
  </si>
  <si>
    <t>马腰作业区8泊位</t>
  </si>
  <si>
    <t>11-131-029</t>
  </si>
  <si>
    <t>LYG-QD(4710)-2024-D00582</t>
  </si>
  <si>
    <t>LYGQZ028163</t>
  </si>
  <si>
    <t>11-131-028</t>
  </si>
  <si>
    <t>LYG-QD(4710)-2024-D00581</t>
  </si>
  <si>
    <t>LYGQZ027921</t>
  </si>
  <si>
    <t>14-131-014</t>
  </si>
  <si>
    <t>LYG-QD(4710)-2024-D00729</t>
  </si>
  <si>
    <t>(-16-20)/(-16-28)</t>
  </si>
  <si>
    <t>LYGQZ027763</t>
  </si>
  <si>
    <t>ZJ13-1084-6</t>
  </si>
  <si>
    <t>LYG-QD(4710)-2024-D00157</t>
  </si>
  <si>
    <t>LYGQZ027820</t>
  </si>
  <si>
    <t>14-122-034</t>
  </si>
  <si>
    <t>LYG-QD(4410)-2020-0506</t>
  </si>
  <si>
    <t>LYGQZ028108</t>
  </si>
  <si>
    <t>14-131-012</t>
  </si>
  <si>
    <t>LYG-QD(4710)-2025-D00295</t>
  </si>
  <si>
    <t>LYGQZ028107</t>
  </si>
  <si>
    <t>14-131-011</t>
  </si>
  <si>
    <t>LYG-QD(4710)-2025-D00294</t>
  </si>
  <si>
    <t>LYGQZ028105</t>
  </si>
  <si>
    <t>14-122-035</t>
  </si>
  <si>
    <t>LYG-QD(4410)-2020-0507</t>
  </si>
  <si>
    <t>LYGQZ028104</t>
  </si>
  <si>
    <t>14-122-033</t>
  </si>
  <si>
    <t>LYG-QD(4410)-2020-0505</t>
  </si>
  <si>
    <t>河南卫华集团有限公司</t>
  </si>
  <si>
    <t>LYGQZ028152</t>
  </si>
  <si>
    <t>14-122-036</t>
  </si>
  <si>
    <t>LYG-QD(4410)-2020-0508</t>
  </si>
  <si>
    <t>LYGQZ027936</t>
  </si>
  <si>
    <t>QD16/3.2-16.5 A6</t>
  </si>
  <si>
    <t>墟沟西作业区钳工车间</t>
  </si>
  <si>
    <t>14-135-003</t>
  </si>
  <si>
    <t>LYG-QD(4110)-2024-D00338</t>
  </si>
  <si>
    <t>河南卫华起重机有限公司</t>
  </si>
  <si>
    <t>3.5/8</t>
  </si>
  <si>
    <t>16/18</t>
  </si>
  <si>
    <t>16/3.2</t>
  </si>
  <si>
    <t>LYGQZ028300</t>
  </si>
  <si>
    <t>东2</t>
  </si>
  <si>
    <t>LYG-QD(4170)-2018-0434</t>
  </si>
  <si>
    <t>LYGQZ028466</t>
  </si>
  <si>
    <t>F278-5</t>
  </si>
  <si>
    <t>11-515-001</t>
  </si>
  <si>
    <t>LYG-QD(4440)-2022-00526</t>
  </si>
  <si>
    <t>意大利法拉力公司</t>
  </si>
  <si>
    <t>42/25</t>
  </si>
  <si>
    <t>LYGQZ027743</t>
  </si>
  <si>
    <t>14-122-046</t>
  </si>
  <si>
    <t>LYG-QD(4410)-2021-00380</t>
  </si>
  <si>
    <t>LYGQZ029466</t>
  </si>
  <si>
    <t>4710-245</t>
  </si>
  <si>
    <t>11-131-035</t>
  </si>
  <si>
    <t>LYG-QD(4710)-2025-D00088</t>
  </si>
  <si>
    <t>LYGQZ029925</t>
  </si>
  <si>
    <t>LDA5-20 A4</t>
  </si>
  <si>
    <t>墟沟西作业区金工车间</t>
  </si>
  <si>
    <t>14-135-001</t>
  </si>
  <si>
    <t>LYG-QD(4170)-2024-D00229</t>
  </si>
  <si>
    <t>LYGQZ029780</t>
  </si>
  <si>
    <t>QLY50</t>
  </si>
  <si>
    <t>11-122-070</t>
  </si>
  <si>
    <t>LYG-QD(4410)-2025-D00315</t>
  </si>
  <si>
    <t>LYGQZ029724</t>
  </si>
  <si>
    <t>14-122-049</t>
  </si>
  <si>
    <t>LYG-QD(4410)-2025-D00287</t>
  </si>
  <si>
    <t>LYGQZ029723</t>
  </si>
  <si>
    <t>14-122-048</t>
  </si>
  <si>
    <t>LYG-QD(4410)-2025-D00285</t>
  </si>
  <si>
    <t>LYGQZ029722</t>
  </si>
  <si>
    <t>14-122-050</t>
  </si>
  <si>
    <t>LYG-QD(4410)-2025-D00276</t>
  </si>
  <si>
    <t>LYGQZ029721</t>
  </si>
  <si>
    <t>14-122-045</t>
  </si>
  <si>
    <t>LYG-QD(4410)-2021-00379</t>
  </si>
  <si>
    <t>LYGQZ029720</t>
  </si>
  <si>
    <t>14-122-044</t>
  </si>
  <si>
    <t>LYG-QD(4410)-2021-00378</t>
  </si>
  <si>
    <t>LYGQZ028842</t>
  </si>
  <si>
    <t>14-122-040</t>
  </si>
  <si>
    <t>LYG-QD(4410)-2021-00374</t>
  </si>
  <si>
    <t>LYGQZ028785</t>
  </si>
  <si>
    <t>14-122-039</t>
  </si>
  <si>
    <t>LYG-QD(4410)-2021-00373</t>
  </si>
  <si>
    <t>LYGQZ028784</t>
  </si>
  <si>
    <t>14-122-038</t>
  </si>
  <si>
    <t>LYG-QD(4410)-2021-00372</t>
  </si>
  <si>
    <t>LYGQZ029087</t>
  </si>
  <si>
    <t>14-122-037</t>
  </si>
  <si>
    <t>LYG-QD(4410)-2021-00371</t>
  </si>
  <si>
    <t>LYGQZ029759</t>
  </si>
  <si>
    <t>14-122-043</t>
  </si>
  <si>
    <t>LYG-QD(4410)-2021-00377</t>
  </si>
  <si>
    <t>LYGQZ029758</t>
  </si>
  <si>
    <t>14-122-042</t>
  </si>
  <si>
    <t>LYG-QD(4410)-2021-00376</t>
  </si>
  <si>
    <t>LYGQZ029671</t>
  </si>
  <si>
    <t>14-122-041</t>
  </si>
  <si>
    <t>LYG-QD(4410)-2021-00375</t>
  </si>
  <si>
    <t>LYGQZ029657</t>
  </si>
  <si>
    <t>11-122-071</t>
  </si>
  <si>
    <t>LYG-QD(4410)-2025-D00327</t>
  </si>
  <si>
    <t>LYGQZ029908</t>
  </si>
  <si>
    <t>电气车间南台</t>
  </si>
  <si>
    <t>14-135-007</t>
  </si>
  <si>
    <t>LYG-QD(4170)-2024-D00719</t>
  </si>
  <si>
    <t>LYGQZ029381</t>
  </si>
  <si>
    <t>14-122-056</t>
  </si>
  <si>
    <t>LYG-QD(4410)-2025-D00290</t>
  </si>
  <si>
    <t>LYGQZ029386</t>
  </si>
  <si>
    <t>11-122-079</t>
  </si>
  <si>
    <t>LYG-QD(4410)-2025-D00321</t>
  </si>
  <si>
    <t>LYGQZ029384</t>
  </si>
  <si>
    <t>11-122-077</t>
  </si>
  <si>
    <t>LYG-QD(4410)-2025-D00319</t>
  </si>
  <si>
    <t>LYGQZ029765</t>
  </si>
  <si>
    <t>SRSC45H8</t>
  </si>
  <si>
    <t>14RS45080002</t>
  </si>
  <si>
    <t>11-515-002</t>
  </si>
  <si>
    <t>LYG-QD(4440)-2025-D00313</t>
  </si>
  <si>
    <t>三一重工机械有限公司</t>
  </si>
  <si>
    <t>LYGQZ024007</t>
  </si>
  <si>
    <t>MC50</t>
  </si>
  <si>
    <t>GT15-1172-2</t>
  </si>
  <si>
    <t>LYG-QD(4710)-2024-D00040</t>
  </si>
  <si>
    <t>35/50/70</t>
  </si>
  <si>
    <t>LYGQZ025304</t>
  </si>
  <si>
    <t>GT15-1172-1</t>
  </si>
  <si>
    <t>LYG-QD(4710)-2024-D00039</t>
  </si>
  <si>
    <t>LYGQZ024563</t>
  </si>
  <si>
    <t>MGQ型500t</t>
  </si>
  <si>
    <t>GT14-1136-1</t>
  </si>
  <si>
    <t>LYG-QD(4760)-2025-D00690</t>
  </si>
  <si>
    <t>吴小圣</t>
  </si>
  <si>
    <t>上海振华重工（集团）张家港港机有限公司</t>
  </si>
  <si>
    <t>0.5-4/2-10</t>
  </si>
  <si>
    <t>0-15-30-56</t>
  </si>
  <si>
    <t>500/150</t>
  </si>
  <si>
    <t>LYGQZ024872</t>
  </si>
  <si>
    <t>QLY65NG</t>
  </si>
  <si>
    <t>14-122-055</t>
  </si>
  <si>
    <t>LYG-QD(4410)-2025-D00288</t>
  </si>
  <si>
    <t>LYGQZ024398</t>
  </si>
  <si>
    <t>RS4501Y80342</t>
  </si>
  <si>
    <t>东方港务公司墟沟西作业区</t>
  </si>
  <si>
    <t>14-515-004</t>
  </si>
  <si>
    <t>LYG-QD(4440)-2025-D00304</t>
  </si>
  <si>
    <t>25/15</t>
  </si>
  <si>
    <t>LYGQZ025219</t>
  </si>
  <si>
    <t>RT55</t>
  </si>
  <si>
    <t>12-122-004</t>
  </si>
  <si>
    <t>LYG-QD(4410)-2025-D00683</t>
  </si>
  <si>
    <t>越野轮胎起重机</t>
  </si>
  <si>
    <t>中联重科股份有限公司</t>
  </si>
  <si>
    <t>LYGQZ025287</t>
  </si>
  <si>
    <t>11-122-072</t>
  </si>
  <si>
    <t>LYG-QD(4410)-2025-D00328</t>
  </si>
  <si>
    <t>135/75</t>
  </si>
  <si>
    <t>LYGQZ026035</t>
  </si>
  <si>
    <t>LD5-11.78   A3</t>
  </si>
  <si>
    <t>汽运队维修车间</t>
  </si>
  <si>
    <t>LYG-QD(4170)-2025-D00684</t>
  </si>
  <si>
    <t>LYGQZ026637</t>
  </si>
  <si>
    <t>MQ型25T</t>
  </si>
  <si>
    <t>G159-2</t>
  </si>
  <si>
    <t>墟沟西作业区64#泊位</t>
  </si>
  <si>
    <t>14-131-030</t>
  </si>
  <si>
    <t>LYG-QD(4710)-2024-D00230</t>
  </si>
  <si>
    <t>LYGQZ025757</t>
  </si>
  <si>
    <t>14-122-054</t>
  </si>
  <si>
    <t>LYG-QD(4410)-2025-D00289</t>
  </si>
  <si>
    <t>LYGQZ026792</t>
  </si>
  <si>
    <t>11-122-090</t>
  </si>
  <si>
    <t>LYG-QD(4410)-2025-D00325</t>
  </si>
  <si>
    <t>LYGQZ026791</t>
  </si>
  <si>
    <t>11-122-088</t>
  </si>
  <si>
    <t>LYG-QD(4410)-2025-D00323</t>
  </si>
  <si>
    <t>LYGQZ026790</t>
  </si>
  <si>
    <t>11-122-081</t>
  </si>
  <si>
    <t>LYG-QD(4410)-2025-D00322</t>
  </si>
  <si>
    <t>LYGQZ026789</t>
  </si>
  <si>
    <t>11-122-080</t>
  </si>
  <si>
    <t>LYG-QD(4410)-2025-D00318</t>
  </si>
  <si>
    <t>LYGQZ027581</t>
  </si>
  <si>
    <t>MQ16-30</t>
  </si>
  <si>
    <t>ZP10-1505-2</t>
  </si>
  <si>
    <t>马腰作业区5泊位</t>
  </si>
  <si>
    <t>11-131-042</t>
  </si>
  <si>
    <t>LYG-QD(4710)-2024-D00354</t>
  </si>
  <si>
    <t>港口门座式起重机</t>
  </si>
  <si>
    <t>LYGQZ027580</t>
  </si>
  <si>
    <t>ZP10-1505-1</t>
  </si>
  <si>
    <t>11-131-041</t>
  </si>
  <si>
    <t>LYG-QD(4710)-2024-D00348</t>
  </si>
  <si>
    <t>LYGQZ027578</t>
  </si>
  <si>
    <t>LYG-QD(4710)-2024-D00579</t>
  </si>
  <si>
    <t>LYGQZ027186</t>
  </si>
  <si>
    <t>11-122-083</t>
  </si>
  <si>
    <t>LYG-QD(4410)-2025-D00329</t>
  </si>
  <si>
    <t>LYGQZ027074</t>
  </si>
  <si>
    <t>11-122-082</t>
  </si>
  <si>
    <t>LYG-QD(4410)-2025-D00331</t>
  </si>
  <si>
    <t>LYGQZ027688</t>
  </si>
  <si>
    <t>11-122-087</t>
  </si>
  <si>
    <t>LYG-QD(4410)-2025-D00320</t>
  </si>
  <si>
    <t>LYGQZ027687</t>
  </si>
  <si>
    <t>11-122-086</t>
  </si>
  <si>
    <t>LYG-QD(4410)-2025-D00326</t>
  </si>
  <si>
    <t>LYGQZ027686</t>
  </si>
  <si>
    <t>11-122-085</t>
  </si>
  <si>
    <t>LYG-QD(4410)-2025-D00324</t>
  </si>
  <si>
    <t>LYGQZ027583</t>
  </si>
  <si>
    <t>14-122-053</t>
  </si>
  <si>
    <t>LYG-QD(4410)-2025-D00284</t>
  </si>
  <si>
    <t>LYGQZ027400</t>
  </si>
  <si>
    <t>QD15/3.2-16.5 A6</t>
  </si>
  <si>
    <t>墟沟西作业区铆焊车间</t>
  </si>
  <si>
    <t>14-135-004</t>
  </si>
  <si>
    <t>LYG-QD(4110)-2024-D00339</t>
  </si>
  <si>
    <t>大连大起集团有限公司</t>
  </si>
  <si>
    <t>15/3.2</t>
  </si>
  <si>
    <t>LYGQZ026494</t>
  </si>
  <si>
    <t>MQ型25t</t>
  </si>
  <si>
    <t>G159-1</t>
  </si>
  <si>
    <t>14-131-029</t>
  </si>
  <si>
    <t>LYG-QD(4710)-2024-D00220</t>
  </si>
  <si>
    <t>LYGQZ026032</t>
  </si>
  <si>
    <t>ZP09-1410-1</t>
  </si>
  <si>
    <t>马腰作业区82#泊位</t>
  </si>
  <si>
    <t>11-131-061</t>
  </si>
  <si>
    <t>LYG-QD(4710)-2024-D00368</t>
  </si>
  <si>
    <t>LYGQZ025676</t>
  </si>
  <si>
    <t>68泊位</t>
  </si>
  <si>
    <t>LYG-QD(4710)-2023-D00981</t>
  </si>
  <si>
    <t>LYGQZ026219</t>
  </si>
  <si>
    <t>ZP09-1410-8</t>
  </si>
  <si>
    <t>11-131-068</t>
  </si>
  <si>
    <t>LYG-QD(4710)-2024-D00366</t>
  </si>
  <si>
    <t>LYQ-QZWX-20254-00014</t>
  </si>
  <si>
    <t>LYGQZ026218</t>
  </si>
  <si>
    <t>ZP09-1410-6</t>
  </si>
  <si>
    <t>11-131-066</t>
  </si>
  <si>
    <t>LYG-QD(4710)-2024-D00358</t>
  </si>
  <si>
    <t>LYGQZ026217</t>
  </si>
  <si>
    <t>ZP09-1410-5</t>
  </si>
  <si>
    <t>11-131-065</t>
  </si>
  <si>
    <t>LYG-QD(4710)-2024-D00359</t>
  </si>
  <si>
    <t>LYGQZ026216</t>
  </si>
  <si>
    <t>ZP09-1410-4</t>
  </si>
  <si>
    <t>11-131-064</t>
  </si>
  <si>
    <t>LYG-QD(4710)-2024-D00360</t>
  </si>
  <si>
    <t>LYGQZ026215</t>
  </si>
  <si>
    <t>ZP09-1410-3</t>
  </si>
  <si>
    <t>11-131-063</t>
  </si>
  <si>
    <t>LYG-QD(4710)-2024-D00363</t>
  </si>
  <si>
    <t>LYGQZ026214</t>
  </si>
  <si>
    <t>ZP09-1410-2</t>
  </si>
  <si>
    <t>11-131-062</t>
  </si>
  <si>
    <t>LYG-QD(4710)-2024-D00361</t>
  </si>
  <si>
    <t>LYGQZ023834</t>
  </si>
  <si>
    <t>11-122-091</t>
  </si>
  <si>
    <t>LYG-QD(4410)-2025-D00332</t>
  </si>
  <si>
    <t>LYGQZ022899</t>
  </si>
  <si>
    <t>LD10-18.95 A3</t>
  </si>
  <si>
    <t>门机修理车间</t>
  </si>
  <si>
    <t>14-135-011</t>
  </si>
  <si>
    <t>LYG-QD(4170)-2024-D00720</t>
  </si>
  <si>
    <t>LYGQZ023959</t>
  </si>
  <si>
    <t>06-1598-2</t>
  </si>
  <si>
    <t>14-131-018</t>
  </si>
  <si>
    <t>LYG-QD(4710)-2025-D00293</t>
  </si>
  <si>
    <t>LYGQZ023547</t>
  </si>
  <si>
    <t>ZJ11-1024-1</t>
  </si>
  <si>
    <t>东联分公司5泊位</t>
  </si>
  <si>
    <t>11-131-043</t>
  </si>
  <si>
    <t>LYG-QD(4710)-2024-D00342</t>
  </si>
  <si>
    <t>27/18</t>
  </si>
  <si>
    <t>江苏连云港港口股份有限公司东源港务分公司</t>
  </si>
  <si>
    <t>LYGQZ023353</t>
  </si>
  <si>
    <t>LD</t>
  </si>
  <si>
    <t>连云港市连云区庙岭港区港口4路8号</t>
  </si>
  <si>
    <t>胡军</t>
  </si>
  <si>
    <t>河南省飞马起重机械集团有限公司</t>
  </si>
  <si>
    <t>连云港新圩港码头有限公司</t>
  </si>
  <si>
    <t>LYGQZ041499</t>
  </si>
  <si>
    <t>MQZ型50t</t>
  </si>
  <si>
    <t>4710-1455</t>
  </si>
  <si>
    <t>连云港徐圩港口码头有限公司徐圩港区</t>
  </si>
  <si>
    <t>连云港市连云区徐圩新区海堤路</t>
  </si>
  <si>
    <t>刘明光</t>
  </si>
  <si>
    <t>王才波</t>
  </si>
  <si>
    <t>LYG-QJ(4710)-2024-E00146</t>
  </si>
  <si>
    <t>国家东中西区域合作示范区（连云港徐圩新区）市场监督管理局</t>
  </si>
  <si>
    <t>XWXQ-QZAZ-20248-00002</t>
  </si>
  <si>
    <t>36/21</t>
  </si>
  <si>
    <t>安全环保部</t>
  </si>
  <si>
    <t>LYGQZ041497</t>
  </si>
  <si>
    <t>4710-1452</t>
  </si>
  <si>
    <t>LYG-QJ(4710)-2024-E00143</t>
  </si>
  <si>
    <t>XWXQ-QZAZ-20247-00018</t>
  </si>
  <si>
    <t>LYGQZ041496</t>
  </si>
  <si>
    <t>4710-1454</t>
  </si>
  <si>
    <t>LYG-QJ(4710)-2024-E00145</t>
  </si>
  <si>
    <t>XWXQ-QZAZ-20247-00020</t>
  </si>
  <si>
    <t>LYGQZ041495</t>
  </si>
  <si>
    <t>4710-1453</t>
  </si>
  <si>
    <t>LYG-QJ(4710)-2024-E00144</t>
  </si>
  <si>
    <t>XWXQ-QZAZ-20247-00019</t>
  </si>
  <si>
    <t>LYGQZ038106</t>
  </si>
  <si>
    <t>LYG-QD(4410)-2024-E00855</t>
  </si>
  <si>
    <t>LYGQZ033352</t>
  </si>
  <si>
    <t>G227-3</t>
  </si>
  <si>
    <t>徐圩园区104泊位</t>
  </si>
  <si>
    <t>丁炳乙</t>
  </si>
  <si>
    <t>LYG-QD(4710)-2023-E00626</t>
  </si>
  <si>
    <t>21/36</t>
  </si>
  <si>
    <t>LYGQZ033156</t>
  </si>
  <si>
    <t>G227-2</t>
  </si>
  <si>
    <t>LYG-QD(4710)-2023-E00625</t>
  </si>
  <si>
    <t>LYGQZ033155</t>
  </si>
  <si>
    <t>G227-4</t>
  </si>
  <si>
    <t>LYG-QD(4710)-2023-E00624</t>
  </si>
  <si>
    <t>LYGQZ032413</t>
  </si>
  <si>
    <t>G227-6</t>
  </si>
  <si>
    <t>LYG-QD(4710)-2023-E00623</t>
  </si>
  <si>
    <t>LYGQZ032097</t>
  </si>
  <si>
    <t>G227-1</t>
  </si>
  <si>
    <t>LYG-QD(4710)-2023-E00621</t>
  </si>
  <si>
    <t>LYGQZ032336</t>
  </si>
  <si>
    <t>G227-5</t>
  </si>
  <si>
    <t>LYG-QD(4710)-2023-E00622</t>
  </si>
  <si>
    <t>LYGQZ034755</t>
  </si>
  <si>
    <t>MC型40T</t>
  </si>
  <si>
    <t>ZJ14-1114-3</t>
  </si>
  <si>
    <t>新圩港码头</t>
  </si>
  <si>
    <t>王峥嵘</t>
  </si>
  <si>
    <t>LYG-QD(4710)-2024-E00879</t>
  </si>
  <si>
    <t>技术部管理</t>
  </si>
  <si>
    <t>丁兆利</t>
  </si>
  <si>
    <t>LYGQZ034038</t>
  </si>
  <si>
    <t>G176A-3</t>
  </si>
  <si>
    <t>一港池二期码头</t>
  </si>
  <si>
    <t>李巍伟</t>
  </si>
  <si>
    <t>68-131-002</t>
  </si>
  <si>
    <t>LYG-QD(4710)-2024-E00487</t>
  </si>
  <si>
    <t>21/37</t>
  </si>
  <si>
    <t>LYGQZ034379</t>
  </si>
  <si>
    <t>ZJ14-1116-2</t>
  </si>
  <si>
    <t>LYG-QD(4710)-2024-E00878</t>
  </si>
  <si>
    <t>LYGQZ033946</t>
  </si>
  <si>
    <t>ZJ14-1114-4</t>
  </si>
  <si>
    <t>LYG-QD(4710)-2024-E00877</t>
  </si>
  <si>
    <t>LYGQZ034062</t>
  </si>
  <si>
    <t>ZJ14-1116-1</t>
  </si>
  <si>
    <t>LYG-QD(4710)-2024-E01018</t>
  </si>
  <si>
    <t>LYGQZ030785</t>
  </si>
  <si>
    <t>G150-1</t>
  </si>
  <si>
    <t>2号码头</t>
  </si>
  <si>
    <t>LYG-QD(4710)-2023-E00620</t>
  </si>
  <si>
    <t>骆威</t>
  </si>
  <si>
    <t>20+19/32+19</t>
  </si>
  <si>
    <t>LYGQZ030305</t>
  </si>
  <si>
    <t>G176A-4</t>
  </si>
  <si>
    <t>68-131-003</t>
  </si>
  <si>
    <t>LYG-QD(4710)-2024-E00486</t>
  </si>
  <si>
    <t>LYGQZ028484</t>
  </si>
  <si>
    <t>G150-2</t>
  </si>
  <si>
    <t>LYG-QD(4710)-2023-E00619</t>
  </si>
  <si>
    <t>LYGQZ028416</t>
  </si>
  <si>
    <t>G150-4</t>
  </si>
  <si>
    <t>04#</t>
  </si>
  <si>
    <t>LYG-QD(4710)-2023-E00618</t>
  </si>
  <si>
    <t>LYGQZ024658</t>
  </si>
  <si>
    <t>ZJ14-1114-2</t>
  </si>
  <si>
    <t>LYG-QD(4710)-2024-E01016</t>
  </si>
  <si>
    <t>LYGQZ024957</t>
  </si>
  <si>
    <t>ZJ14-1114-1</t>
  </si>
  <si>
    <t>LYG-QD(4710)-2024-E01017</t>
  </si>
  <si>
    <t>LYGQZ026711</t>
  </si>
  <si>
    <t>G176A-8</t>
  </si>
  <si>
    <t>一港池</t>
  </si>
  <si>
    <t>14#</t>
  </si>
  <si>
    <t>LYG-QD(4710)-2025-E00457</t>
  </si>
  <si>
    <t>MQ型40t门座式起重机</t>
  </si>
  <si>
    <t>抓斗20/21，吊钩20/37</t>
  </si>
  <si>
    <t>LYGQZ023124</t>
  </si>
  <si>
    <t>LD10-11A4</t>
  </si>
  <si>
    <t>LYG-QD(4170)-2024-E01033</t>
  </si>
  <si>
    <t>李星辰</t>
  </si>
  <si>
    <t>南京重起起重设备有限公司</t>
  </si>
  <si>
    <t>LYGQZ023315</t>
  </si>
  <si>
    <t>G176A-7</t>
  </si>
  <si>
    <t>LYG-QD(4710)-2025-E00456</t>
  </si>
  <si>
    <t>LYGQZ023796</t>
  </si>
  <si>
    <t>G150-3</t>
  </si>
  <si>
    <t>03#</t>
  </si>
  <si>
    <t>LYG-QD(4710)-2023-E00617</t>
  </si>
  <si>
    <t>序号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</si>
</sst>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等线"/>
      <family val="2"/>
      <scheme val="minor"/>
    </font>
    <font>
      <b/>
      <sz val="16"/>
      <name val="宋体"/>
      <charset val="134"/>
    </font>
    <font>
      <sz val="9"/>
      <name val="等线"/>
      <family val="3"/>
      <charset val="134"/>
      <scheme val="minor"/>
    </font>
    <font>
      <sz val="11"/>
      <name val="宋体"/>
      <family val="3"/>
      <charset val="134"/>
    </font>
    <font>
      <b/>
      <sz val="16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31" fontId="0" fillId="0" borderId="0" xfId="0" applyNumberFormat="1">
      <alignment vertical="center"/>
    </xf>
    <xf numFmtId="58" fontId="0" fillId="0" borderId="0" xfId="0" applyNumberFormat="1">
      <alignment vertical="center"/>
    </xf>
    <xf numFmtId="57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0" fillId="0" borderId="1" xfId="0" applyBorder="1">
      <alignment vertical="center"/>
    </xf>
    <xf numFmtId="0" fontId="3" fillId="0" borderId="0" xfId="0" applyFont="1" applyAlignment="1">
      <alignment horizontal="center" vertical="center"/>
    </xf>
    <xf numFmtId="14" fontId="0" fillId="0" borderId="1" xfId="0" applyNumberFormat="1" applyBorder="1">
      <alignment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404"/>
  <sheetViews>
    <sheetView tabSelected="1" topLeftCell="A25" workbookViewId="0">
      <selection activeCell="C34" sqref="C34:E34"/>
    </sheetView>
  </sheetViews>
  <sheetFormatPr defaultRowHeight="14" x14ac:dyDescent="0.3"/>
  <cols>
    <col min="1" max="1" width="4.83203125" customWidth="1"/>
    <col min="2" max="2" width="48.6640625" customWidth="1"/>
    <col min="3" max="3" width="22.08203125" customWidth="1"/>
    <col min="4" max="4" width="14.25" customWidth="1"/>
    <col min="5" max="5" width="30.08203125" customWidth="1"/>
    <col min="6" max="6" width="16.58203125" customWidth="1"/>
    <col min="7" max="7" width="12.33203125" customWidth="1"/>
    <col min="8" max="8" width="15.75" customWidth="1"/>
    <col min="9" max="10" width="11.33203125" customWidth="1"/>
    <col min="11" max="13" width="14.5" customWidth="1"/>
    <col min="14" max="14" width="11.33203125" customWidth="1"/>
    <col min="15" max="16" width="11.75" customWidth="1"/>
    <col min="17" max="17" width="11.33203125" customWidth="1"/>
    <col min="18" max="18" width="8.08203125" customWidth="1"/>
    <col min="19" max="19" width="9.75" customWidth="1"/>
    <col min="20" max="20" width="24" customWidth="1"/>
    <col min="21" max="21" width="8.75" customWidth="1"/>
    <col min="22" max="22" width="8.08203125" customWidth="1"/>
    <col min="23" max="23" width="11.33203125" customWidth="1"/>
    <col min="24" max="24" width="12.83203125" customWidth="1"/>
    <col min="25" max="25" width="13.83203125" customWidth="1"/>
    <col min="26" max="26" width="9.08203125" customWidth="1"/>
    <col min="27" max="27" width="11.33203125" customWidth="1"/>
    <col min="28" max="28" width="8.08203125" customWidth="1"/>
    <col min="29" max="29" width="11.33203125" customWidth="1"/>
    <col min="30" max="30" width="8.08203125" customWidth="1"/>
    <col min="31" max="31" width="11" customWidth="1"/>
    <col min="32" max="32" width="18.08203125" customWidth="1"/>
    <col min="33" max="33" width="8.08203125" customWidth="1"/>
    <col min="34" max="34" width="4.83203125" customWidth="1"/>
    <col min="35" max="36" width="25.5" customWidth="1"/>
    <col min="37" max="38" width="24.75" customWidth="1"/>
    <col min="39" max="39" width="23.5" customWidth="1"/>
    <col min="40" max="40" width="21.83203125" customWidth="1"/>
    <col min="41" max="41" width="17" customWidth="1"/>
    <col min="42" max="43" width="8.08203125" customWidth="1"/>
    <col min="44" max="44" width="12.83203125" customWidth="1"/>
    <col min="45" max="45" width="18.58203125" customWidth="1"/>
    <col min="46" max="47" width="16.08203125" customWidth="1"/>
    <col min="48" max="48" width="17.75" customWidth="1"/>
    <col min="49" max="49" width="14.5" customWidth="1"/>
    <col min="50" max="50" width="16.08203125" customWidth="1"/>
    <col min="51" max="51" width="17.75" customWidth="1"/>
    <col min="52" max="52" width="8.08203125" customWidth="1"/>
    <col min="53" max="53" width="11.33203125" customWidth="1"/>
    <col min="54" max="54" width="9.75" customWidth="1"/>
    <col min="55" max="55" width="11.33203125" customWidth="1"/>
    <col min="56" max="57" width="12.83203125" customWidth="1"/>
  </cols>
  <sheetData>
    <row r="1" spans="1:57" ht="21" x14ac:dyDescent="0.3">
      <c r="A1" s="10" t="s">
        <v>2250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</row>
    <row r="2" spans="1:57" x14ac:dyDescent="0.3">
      <c r="A2" s="7">
        <v>9</v>
      </c>
      <c r="B2" s="7" t="s">
        <v>1523</v>
      </c>
      <c r="C2" s="7">
        <v>9.1320700732251302E+17</v>
      </c>
      <c r="D2" s="7" t="s">
        <v>1555</v>
      </c>
      <c r="E2" s="7" t="s">
        <v>62</v>
      </c>
      <c r="F2" s="7" t="s">
        <v>1556</v>
      </c>
      <c r="G2" s="7" t="s">
        <v>1557</v>
      </c>
      <c r="H2" s="7"/>
      <c r="I2" s="7" t="s">
        <v>1558</v>
      </c>
      <c r="J2" s="7" t="s">
        <v>1559</v>
      </c>
      <c r="K2" s="7" t="s">
        <v>1560</v>
      </c>
      <c r="L2" s="7">
        <v>18761348365</v>
      </c>
      <c r="M2" s="7"/>
      <c r="N2" s="7" t="s">
        <v>1561</v>
      </c>
      <c r="O2" s="9">
        <v>45874</v>
      </c>
      <c r="P2" s="9">
        <v>46604</v>
      </c>
      <c r="Q2" s="7" t="s">
        <v>65</v>
      </c>
      <c r="R2" s="7" t="s">
        <v>86</v>
      </c>
      <c r="S2" s="7" t="s">
        <v>155</v>
      </c>
      <c r="T2" s="7" t="s">
        <v>1562</v>
      </c>
      <c r="U2" s="7" t="s">
        <v>67</v>
      </c>
      <c r="V2" s="7" t="s">
        <v>57</v>
      </c>
      <c r="W2" s="7" t="s">
        <v>184</v>
      </c>
      <c r="X2" s="7" t="s">
        <v>1563</v>
      </c>
      <c r="Y2" s="7">
        <v>15996119008</v>
      </c>
      <c r="Z2" s="7" t="s">
        <v>113</v>
      </c>
      <c r="AA2" s="7" t="s">
        <v>159</v>
      </c>
      <c r="AB2" s="7" t="s">
        <v>65</v>
      </c>
      <c r="AC2" s="7">
        <v>1190</v>
      </c>
      <c r="AD2" s="7" t="s">
        <v>69</v>
      </c>
      <c r="AE2" s="7">
        <v>40</v>
      </c>
      <c r="AF2" s="7">
        <v>160</v>
      </c>
      <c r="AG2" s="7"/>
      <c r="AH2" s="7"/>
      <c r="AI2" s="7"/>
      <c r="AJ2" s="7"/>
      <c r="AK2" s="7"/>
      <c r="AL2" s="7"/>
      <c r="AM2" s="7"/>
      <c r="AN2" s="7">
        <v>40</v>
      </c>
      <c r="AO2" s="7"/>
      <c r="AP2" s="7" t="s">
        <v>93</v>
      </c>
      <c r="AQ2" s="7" t="s">
        <v>117</v>
      </c>
      <c r="AR2" s="7"/>
      <c r="AS2" s="7" t="s">
        <v>70</v>
      </c>
      <c r="AT2" s="7" t="s">
        <v>1564</v>
      </c>
      <c r="AU2" s="7">
        <f>-19-30</f>
        <v>-49</v>
      </c>
      <c r="AV2" s="7">
        <v>40</v>
      </c>
      <c r="AW2" s="7">
        <v>40</v>
      </c>
      <c r="AX2" s="7"/>
      <c r="AY2" s="7"/>
      <c r="AZ2" s="7">
        <v>222000</v>
      </c>
      <c r="BA2" s="7"/>
      <c r="BB2" s="7"/>
      <c r="BC2" s="7"/>
      <c r="BD2" s="7"/>
      <c r="BE2" s="7"/>
    </row>
    <row r="3" spans="1:57" x14ac:dyDescent="0.3">
      <c r="A3" s="7">
        <v>11</v>
      </c>
      <c r="B3" t="s">
        <v>1523</v>
      </c>
      <c r="C3">
        <v>9.1320700732251302E+17</v>
      </c>
      <c r="D3" t="s">
        <v>1700</v>
      </c>
      <c r="E3" t="s">
        <v>62</v>
      </c>
      <c r="F3" t="s">
        <v>63</v>
      </c>
      <c r="G3" t="s">
        <v>1701</v>
      </c>
      <c r="H3" s="3">
        <v>41122</v>
      </c>
      <c r="I3" t="s">
        <v>1558</v>
      </c>
      <c r="J3" t="s">
        <v>1559</v>
      </c>
      <c r="K3" t="s">
        <v>1431</v>
      </c>
      <c r="L3">
        <v>18761348365</v>
      </c>
      <c r="N3" t="s">
        <v>1702</v>
      </c>
      <c r="O3" s="2">
        <v>45874</v>
      </c>
      <c r="P3" s="2">
        <v>46604</v>
      </c>
      <c r="Q3" t="s">
        <v>65</v>
      </c>
      <c r="R3" t="s">
        <v>86</v>
      </c>
      <c r="S3" t="s">
        <v>155</v>
      </c>
      <c r="T3" t="s">
        <v>1703</v>
      </c>
      <c r="U3" t="s">
        <v>62</v>
      </c>
      <c r="V3" t="s">
        <v>57</v>
      </c>
      <c r="W3" t="s">
        <v>184</v>
      </c>
      <c r="X3" t="s">
        <v>1563</v>
      </c>
      <c r="Y3">
        <v>82380490</v>
      </c>
      <c r="Z3" t="s">
        <v>89</v>
      </c>
      <c r="AA3" t="s">
        <v>159</v>
      </c>
      <c r="AB3" t="s">
        <v>65</v>
      </c>
      <c r="AC3">
        <v>1190</v>
      </c>
      <c r="AD3" t="s">
        <v>69</v>
      </c>
      <c r="AE3">
        <v>40</v>
      </c>
      <c r="AF3">
        <v>160</v>
      </c>
      <c r="AP3" t="s">
        <v>93</v>
      </c>
      <c r="AS3" t="s">
        <v>642</v>
      </c>
      <c r="AT3" t="s">
        <v>1564</v>
      </c>
      <c r="AU3">
        <f>-19-20</f>
        <v>-39</v>
      </c>
      <c r="AV3">
        <v>40</v>
      </c>
      <c r="AW3">
        <v>40</v>
      </c>
      <c r="AZ3">
        <v>222000</v>
      </c>
    </row>
    <row r="4" spans="1:57" x14ac:dyDescent="0.3">
      <c r="A4" s="7">
        <v>12</v>
      </c>
      <c r="B4" t="s">
        <v>1523</v>
      </c>
      <c r="C4">
        <v>9.1320700732251302E+17</v>
      </c>
      <c r="D4" t="s">
        <v>1724</v>
      </c>
      <c r="E4" t="s">
        <v>62</v>
      </c>
      <c r="F4" t="s">
        <v>63</v>
      </c>
      <c r="G4" t="s">
        <v>1725</v>
      </c>
      <c r="I4" t="s">
        <v>1558</v>
      </c>
      <c r="J4" t="s">
        <v>1524</v>
      </c>
      <c r="K4" t="s">
        <v>1431</v>
      </c>
      <c r="L4">
        <v>18761348365</v>
      </c>
      <c r="N4" t="s">
        <v>1726</v>
      </c>
      <c r="O4" s="2">
        <v>45874</v>
      </c>
      <c r="P4" s="2">
        <v>46604</v>
      </c>
      <c r="Q4" t="s">
        <v>65</v>
      </c>
      <c r="R4" t="s">
        <v>86</v>
      </c>
      <c r="S4" t="s">
        <v>155</v>
      </c>
      <c r="T4" t="s">
        <v>1727</v>
      </c>
      <c r="U4" t="s">
        <v>62</v>
      </c>
      <c r="V4" t="s">
        <v>57</v>
      </c>
      <c r="W4" t="s">
        <v>754</v>
      </c>
      <c r="X4" t="s">
        <v>1563</v>
      </c>
      <c r="Y4">
        <v>82380490</v>
      </c>
      <c r="Z4" t="s">
        <v>89</v>
      </c>
      <c r="AA4" t="s">
        <v>159</v>
      </c>
      <c r="AB4" t="s">
        <v>65</v>
      </c>
      <c r="AC4">
        <v>950</v>
      </c>
      <c r="AD4" t="s">
        <v>69</v>
      </c>
      <c r="AE4">
        <v>40</v>
      </c>
      <c r="AF4">
        <v>160</v>
      </c>
      <c r="AP4" t="s">
        <v>93</v>
      </c>
      <c r="AS4" t="s">
        <v>642</v>
      </c>
      <c r="AT4" t="s">
        <v>1564</v>
      </c>
      <c r="AU4">
        <f>-19-20</f>
        <v>-39</v>
      </c>
      <c r="AV4">
        <v>40</v>
      </c>
      <c r="AW4">
        <v>40</v>
      </c>
      <c r="AZ4">
        <v>222000</v>
      </c>
    </row>
    <row r="5" spans="1:57" x14ac:dyDescent="0.3">
      <c r="A5" s="7">
        <v>13</v>
      </c>
      <c r="B5" t="s">
        <v>1523</v>
      </c>
      <c r="C5">
        <v>9.1320700732251302E+17</v>
      </c>
      <c r="D5" t="s">
        <v>1738</v>
      </c>
      <c r="E5" t="s">
        <v>62</v>
      </c>
      <c r="F5" t="s">
        <v>1556</v>
      </c>
      <c r="G5" t="s">
        <v>1739</v>
      </c>
      <c r="H5" s="3">
        <v>40422</v>
      </c>
      <c r="I5" t="s">
        <v>1740</v>
      </c>
      <c r="J5" t="s">
        <v>1524</v>
      </c>
      <c r="K5" t="s">
        <v>1560</v>
      </c>
      <c r="L5">
        <v>18761348365</v>
      </c>
      <c r="N5" t="s">
        <v>1741</v>
      </c>
      <c r="O5" s="2">
        <v>45874</v>
      </c>
      <c r="P5" s="2">
        <v>46604</v>
      </c>
      <c r="Q5" t="s">
        <v>65</v>
      </c>
      <c r="R5" t="s">
        <v>86</v>
      </c>
      <c r="S5" t="s">
        <v>155</v>
      </c>
      <c r="T5" t="s">
        <v>1742</v>
      </c>
      <c r="U5" t="s">
        <v>67</v>
      </c>
      <c r="V5" t="s">
        <v>57</v>
      </c>
      <c r="W5" t="s">
        <v>184</v>
      </c>
      <c r="X5" t="s">
        <v>1563</v>
      </c>
      <c r="Y5">
        <v>15996119008</v>
      </c>
      <c r="Z5" t="s">
        <v>113</v>
      </c>
      <c r="AA5" t="s">
        <v>159</v>
      </c>
      <c r="AB5" t="s">
        <v>65</v>
      </c>
      <c r="AC5">
        <v>950</v>
      </c>
      <c r="AD5" t="s">
        <v>69</v>
      </c>
      <c r="AE5">
        <v>40</v>
      </c>
      <c r="AF5">
        <v>160</v>
      </c>
      <c r="AN5">
        <v>40</v>
      </c>
      <c r="AP5" t="s">
        <v>93</v>
      </c>
      <c r="AQ5" t="s">
        <v>117</v>
      </c>
      <c r="AS5" t="s">
        <v>70</v>
      </c>
      <c r="AT5">
        <v>50</v>
      </c>
      <c r="AU5">
        <f>-19-30</f>
        <v>-49</v>
      </c>
      <c r="AV5">
        <v>40</v>
      </c>
      <c r="AW5">
        <v>40</v>
      </c>
      <c r="AZ5">
        <v>222000</v>
      </c>
    </row>
    <row r="6" spans="1:57" x14ac:dyDescent="0.3">
      <c r="A6" s="7">
        <v>14</v>
      </c>
      <c r="B6" t="s">
        <v>1523</v>
      </c>
      <c r="C6">
        <v>9.1320700732251302E+17</v>
      </c>
      <c r="D6" t="s">
        <v>1806</v>
      </c>
      <c r="E6" t="s">
        <v>62</v>
      </c>
      <c r="F6" t="s">
        <v>1805</v>
      </c>
      <c r="G6" t="s">
        <v>1807</v>
      </c>
      <c r="H6" s="3">
        <v>38899</v>
      </c>
      <c r="I6" t="s">
        <v>497</v>
      </c>
      <c r="J6" t="s">
        <v>497</v>
      </c>
      <c r="K6" t="s">
        <v>1560</v>
      </c>
      <c r="L6">
        <v>13961374885</v>
      </c>
      <c r="R6" t="s">
        <v>86</v>
      </c>
      <c r="V6" t="s">
        <v>57</v>
      </c>
      <c r="Z6" t="s">
        <v>89</v>
      </c>
      <c r="AE6">
        <v>25</v>
      </c>
      <c r="AK6">
        <v>60</v>
      </c>
      <c r="AP6" t="s">
        <v>93</v>
      </c>
      <c r="AS6" t="s">
        <v>1674</v>
      </c>
      <c r="AT6">
        <v>60</v>
      </c>
      <c r="AU6" t="s">
        <v>83</v>
      </c>
      <c r="AW6">
        <v>25</v>
      </c>
      <c r="AZ6">
        <v>222000</v>
      </c>
    </row>
    <row r="7" spans="1:57" x14ac:dyDescent="0.3">
      <c r="A7" s="7">
        <v>15</v>
      </c>
      <c r="B7" t="s">
        <v>1523</v>
      </c>
      <c r="C7">
        <v>9.1320700732251302E+17</v>
      </c>
      <c r="D7" t="s">
        <v>1995</v>
      </c>
      <c r="E7" t="s">
        <v>557</v>
      </c>
      <c r="F7" t="s">
        <v>1314</v>
      </c>
      <c r="G7" t="s">
        <v>1996</v>
      </c>
      <c r="H7" s="3">
        <v>43403</v>
      </c>
      <c r="I7" t="s">
        <v>1997</v>
      </c>
      <c r="J7" t="s">
        <v>1430</v>
      </c>
      <c r="K7" t="s">
        <v>1431</v>
      </c>
      <c r="L7">
        <v>18352821898</v>
      </c>
      <c r="N7" t="s">
        <v>1998</v>
      </c>
      <c r="O7" s="2">
        <v>45758</v>
      </c>
      <c r="P7" s="2">
        <v>46123</v>
      </c>
      <c r="Q7" t="s">
        <v>65</v>
      </c>
      <c r="R7" t="s">
        <v>86</v>
      </c>
      <c r="S7" t="s">
        <v>155</v>
      </c>
      <c r="T7" t="s">
        <v>1999</v>
      </c>
      <c r="V7" t="s">
        <v>57</v>
      </c>
      <c r="X7" t="s">
        <v>1560</v>
      </c>
      <c r="Y7">
        <v>15996119008</v>
      </c>
      <c r="Z7" t="s">
        <v>113</v>
      </c>
      <c r="AA7" t="s">
        <v>159</v>
      </c>
      <c r="AB7" t="s">
        <v>65</v>
      </c>
      <c r="AC7">
        <v>815</v>
      </c>
      <c r="AD7" t="s">
        <v>69</v>
      </c>
      <c r="AE7">
        <v>45</v>
      </c>
      <c r="AF7" t="s">
        <v>83</v>
      </c>
      <c r="AK7">
        <v>25</v>
      </c>
      <c r="AP7" t="s">
        <v>163</v>
      </c>
      <c r="AS7" t="s">
        <v>225</v>
      </c>
      <c r="AT7" t="s">
        <v>2000</v>
      </c>
      <c r="AU7">
        <v>15.1</v>
      </c>
      <c r="AZ7">
        <v>222000</v>
      </c>
    </row>
    <row r="8" spans="1:57" x14ac:dyDescent="0.3">
      <c r="A8" s="7">
        <v>19</v>
      </c>
      <c r="B8" t="s">
        <v>1425</v>
      </c>
      <c r="C8" t="s">
        <v>1426</v>
      </c>
      <c r="D8" t="s">
        <v>1427</v>
      </c>
      <c r="E8" t="s">
        <v>214</v>
      </c>
      <c r="F8" t="s">
        <v>1428</v>
      </c>
      <c r="G8">
        <v>1110225</v>
      </c>
      <c r="H8">
        <v>2022.03</v>
      </c>
      <c r="I8" t="s">
        <v>1429</v>
      </c>
      <c r="J8" t="s">
        <v>1430</v>
      </c>
      <c r="K8" t="s">
        <v>1431</v>
      </c>
      <c r="L8">
        <v>13812327391</v>
      </c>
      <c r="M8">
        <v>13812327391</v>
      </c>
      <c r="N8" t="s">
        <v>1432</v>
      </c>
      <c r="O8" s="2">
        <v>45754</v>
      </c>
      <c r="P8" s="2">
        <v>46119</v>
      </c>
      <c r="Q8" t="s">
        <v>65</v>
      </c>
      <c r="R8" t="s">
        <v>86</v>
      </c>
      <c r="S8" t="s">
        <v>155</v>
      </c>
      <c r="T8" t="s">
        <v>1433</v>
      </c>
      <c r="U8" t="s">
        <v>214</v>
      </c>
      <c r="V8" t="s">
        <v>57</v>
      </c>
      <c r="Z8" t="s">
        <v>89</v>
      </c>
      <c r="AA8" t="s">
        <v>159</v>
      </c>
      <c r="AB8" t="s">
        <v>65</v>
      </c>
      <c r="AC8">
        <v>620</v>
      </c>
      <c r="AD8" t="s">
        <v>69</v>
      </c>
      <c r="AE8">
        <v>32</v>
      </c>
      <c r="AF8">
        <v>110</v>
      </c>
      <c r="AP8" t="s">
        <v>163</v>
      </c>
      <c r="AT8" t="s">
        <v>403</v>
      </c>
      <c r="AU8">
        <v>17</v>
      </c>
      <c r="AV8">
        <v>22</v>
      </c>
      <c r="AZ8">
        <v>222000</v>
      </c>
    </row>
    <row r="9" spans="1:57" x14ac:dyDescent="0.3">
      <c r="A9" s="7">
        <v>20</v>
      </c>
      <c r="B9" t="s">
        <v>1425</v>
      </c>
      <c r="C9" t="s">
        <v>1426</v>
      </c>
      <c r="D9" t="s">
        <v>1434</v>
      </c>
      <c r="E9" t="s">
        <v>214</v>
      </c>
      <c r="F9" t="s">
        <v>1428</v>
      </c>
      <c r="G9">
        <v>1110222</v>
      </c>
      <c r="H9">
        <v>2022.03</v>
      </c>
      <c r="I9" t="s">
        <v>1429</v>
      </c>
      <c r="J9" t="s">
        <v>1430</v>
      </c>
      <c r="K9" t="s">
        <v>1431</v>
      </c>
      <c r="L9">
        <v>13812327391</v>
      </c>
      <c r="M9">
        <v>13812327391</v>
      </c>
      <c r="N9" t="s">
        <v>1435</v>
      </c>
      <c r="O9" s="2">
        <v>45754</v>
      </c>
      <c r="P9" s="2">
        <v>46119</v>
      </c>
      <c r="Q9" t="s">
        <v>65</v>
      </c>
      <c r="R9" t="s">
        <v>86</v>
      </c>
      <c r="S9" t="s">
        <v>155</v>
      </c>
      <c r="T9" t="s">
        <v>1436</v>
      </c>
      <c r="U9" t="s">
        <v>214</v>
      </c>
      <c r="V9" t="s">
        <v>57</v>
      </c>
      <c r="Z9" t="s">
        <v>89</v>
      </c>
      <c r="AA9" t="s">
        <v>159</v>
      </c>
      <c r="AB9" t="s">
        <v>65</v>
      </c>
      <c r="AC9">
        <v>620</v>
      </c>
      <c r="AD9" t="s">
        <v>69</v>
      </c>
      <c r="AE9">
        <v>32</v>
      </c>
      <c r="AF9">
        <v>110</v>
      </c>
      <c r="AP9" t="s">
        <v>163</v>
      </c>
      <c r="AT9" t="s">
        <v>403</v>
      </c>
      <c r="AU9">
        <v>17</v>
      </c>
      <c r="AV9">
        <v>22</v>
      </c>
      <c r="AZ9">
        <v>222000</v>
      </c>
    </row>
    <row r="10" spans="1:57" x14ac:dyDescent="0.3">
      <c r="A10" s="7">
        <v>21</v>
      </c>
      <c r="B10" t="s">
        <v>1425</v>
      </c>
      <c r="C10" t="s">
        <v>1426</v>
      </c>
      <c r="D10" t="s">
        <v>1437</v>
      </c>
      <c r="E10" t="s">
        <v>214</v>
      </c>
      <c r="F10" t="s">
        <v>1428</v>
      </c>
      <c r="G10">
        <v>1110224</v>
      </c>
      <c r="H10">
        <v>2022.03</v>
      </c>
      <c r="I10" t="s">
        <v>1429</v>
      </c>
      <c r="J10" t="s">
        <v>1430</v>
      </c>
      <c r="K10" t="s">
        <v>1431</v>
      </c>
      <c r="L10">
        <v>13812327391</v>
      </c>
      <c r="M10">
        <v>13812327391</v>
      </c>
      <c r="N10" t="s">
        <v>1438</v>
      </c>
      <c r="O10" s="2">
        <v>45754</v>
      </c>
      <c r="P10" s="2">
        <v>46119</v>
      </c>
      <c r="Q10" t="s">
        <v>65</v>
      </c>
      <c r="R10" t="s">
        <v>86</v>
      </c>
      <c r="S10" t="s">
        <v>155</v>
      </c>
      <c r="T10" t="s">
        <v>1439</v>
      </c>
      <c r="U10" t="s">
        <v>214</v>
      </c>
      <c r="V10" t="s">
        <v>57</v>
      </c>
      <c r="Z10" t="s">
        <v>89</v>
      </c>
      <c r="AA10" t="s">
        <v>159</v>
      </c>
      <c r="AB10" t="s">
        <v>65</v>
      </c>
      <c r="AC10">
        <v>620</v>
      </c>
      <c r="AD10" t="s">
        <v>69</v>
      </c>
      <c r="AE10">
        <v>32</v>
      </c>
      <c r="AF10">
        <v>110</v>
      </c>
      <c r="AP10" t="s">
        <v>163</v>
      </c>
      <c r="AT10" t="s">
        <v>403</v>
      </c>
      <c r="AU10">
        <v>17</v>
      </c>
      <c r="AV10">
        <v>22</v>
      </c>
      <c r="AZ10">
        <v>222000</v>
      </c>
    </row>
    <row r="11" spans="1:57" x14ac:dyDescent="0.3">
      <c r="A11" s="7">
        <v>22</v>
      </c>
      <c r="B11" t="s">
        <v>1425</v>
      </c>
      <c r="C11" t="s">
        <v>1426</v>
      </c>
      <c r="D11" t="s">
        <v>1440</v>
      </c>
      <c r="E11" t="s">
        <v>214</v>
      </c>
      <c r="F11" t="s">
        <v>1428</v>
      </c>
      <c r="G11">
        <v>1110223</v>
      </c>
      <c r="H11">
        <v>2022.03</v>
      </c>
      <c r="I11" t="s">
        <v>1429</v>
      </c>
      <c r="J11" t="s">
        <v>1430</v>
      </c>
      <c r="K11" t="s">
        <v>1431</v>
      </c>
      <c r="L11">
        <v>13812327391</v>
      </c>
      <c r="M11">
        <v>13812327391</v>
      </c>
      <c r="N11" t="s">
        <v>1441</v>
      </c>
      <c r="O11" s="2">
        <v>45754</v>
      </c>
      <c r="P11" s="2">
        <v>46119</v>
      </c>
      <c r="Q11" t="s">
        <v>65</v>
      </c>
      <c r="R11" t="s">
        <v>86</v>
      </c>
      <c r="S11" t="s">
        <v>155</v>
      </c>
      <c r="T11" t="s">
        <v>1442</v>
      </c>
      <c r="U11" t="s">
        <v>214</v>
      </c>
      <c r="V11" t="s">
        <v>57</v>
      </c>
      <c r="Z11" t="s">
        <v>89</v>
      </c>
      <c r="AA11" t="s">
        <v>159</v>
      </c>
      <c r="AB11" t="s">
        <v>65</v>
      </c>
      <c r="AC11">
        <v>620</v>
      </c>
      <c r="AD11" t="s">
        <v>69</v>
      </c>
      <c r="AE11">
        <v>32</v>
      </c>
      <c r="AF11">
        <v>110</v>
      </c>
      <c r="AP11" t="s">
        <v>163</v>
      </c>
      <c r="AT11" t="s">
        <v>403</v>
      </c>
      <c r="AU11">
        <v>17</v>
      </c>
      <c r="AV11">
        <v>22</v>
      </c>
      <c r="AZ11">
        <v>222000</v>
      </c>
    </row>
    <row r="12" spans="1:57" x14ac:dyDescent="0.3">
      <c r="A12" s="7">
        <v>23</v>
      </c>
      <c r="B12" t="s">
        <v>1425</v>
      </c>
      <c r="C12" t="s">
        <v>1426</v>
      </c>
      <c r="D12" t="s">
        <v>1443</v>
      </c>
      <c r="E12" t="s">
        <v>214</v>
      </c>
      <c r="F12" t="s">
        <v>1428</v>
      </c>
      <c r="G12">
        <v>1110220</v>
      </c>
      <c r="H12">
        <v>2022.03</v>
      </c>
      <c r="I12" t="s">
        <v>1429</v>
      </c>
      <c r="J12" t="s">
        <v>1430</v>
      </c>
      <c r="K12" t="s">
        <v>1431</v>
      </c>
      <c r="L12">
        <v>13812327391</v>
      </c>
      <c r="M12">
        <v>13812327391</v>
      </c>
      <c r="N12" t="s">
        <v>1444</v>
      </c>
      <c r="O12" s="2">
        <v>45754</v>
      </c>
      <c r="P12" s="2">
        <v>46119</v>
      </c>
      <c r="Q12" t="s">
        <v>65</v>
      </c>
      <c r="R12" t="s">
        <v>86</v>
      </c>
      <c r="S12" t="s">
        <v>155</v>
      </c>
      <c r="T12" t="s">
        <v>1445</v>
      </c>
      <c r="U12" t="s">
        <v>214</v>
      </c>
      <c r="V12" t="s">
        <v>57</v>
      </c>
      <c r="Z12" t="s">
        <v>89</v>
      </c>
      <c r="AA12" t="s">
        <v>159</v>
      </c>
      <c r="AB12" t="s">
        <v>65</v>
      </c>
      <c r="AC12">
        <v>620</v>
      </c>
      <c r="AD12" t="s">
        <v>69</v>
      </c>
      <c r="AE12">
        <v>32</v>
      </c>
      <c r="AF12">
        <v>110</v>
      </c>
      <c r="AP12" t="s">
        <v>163</v>
      </c>
      <c r="AT12" t="s">
        <v>403</v>
      </c>
      <c r="AU12">
        <v>17</v>
      </c>
      <c r="AV12">
        <v>22</v>
      </c>
      <c r="AZ12">
        <v>222000</v>
      </c>
    </row>
    <row r="13" spans="1:57" x14ac:dyDescent="0.3">
      <c r="A13" s="7">
        <v>24</v>
      </c>
      <c r="B13" t="s">
        <v>1425</v>
      </c>
      <c r="C13" t="s">
        <v>1426</v>
      </c>
      <c r="D13" t="s">
        <v>1446</v>
      </c>
      <c r="E13" t="s">
        <v>557</v>
      </c>
      <c r="F13" t="s">
        <v>1447</v>
      </c>
      <c r="G13" t="s">
        <v>1448</v>
      </c>
      <c r="H13" t="s">
        <v>1449</v>
      </c>
      <c r="I13" t="s">
        <v>216</v>
      </c>
      <c r="J13" t="s">
        <v>1450</v>
      </c>
      <c r="K13" t="s">
        <v>1431</v>
      </c>
      <c r="L13">
        <v>13812327391</v>
      </c>
      <c r="M13">
        <v>13812327391</v>
      </c>
      <c r="O13" s="2">
        <v>45580</v>
      </c>
      <c r="P13" s="2">
        <v>45945</v>
      </c>
      <c r="Q13" t="s">
        <v>65</v>
      </c>
      <c r="R13" t="s">
        <v>86</v>
      </c>
      <c r="S13" t="s">
        <v>155</v>
      </c>
      <c r="T13" t="s">
        <v>1451</v>
      </c>
      <c r="U13" t="s">
        <v>557</v>
      </c>
      <c r="V13" t="s">
        <v>57</v>
      </c>
      <c r="Z13" t="s">
        <v>113</v>
      </c>
      <c r="AA13" t="s">
        <v>159</v>
      </c>
      <c r="AB13" t="s">
        <v>65</v>
      </c>
      <c r="AC13">
        <v>815</v>
      </c>
      <c r="AD13" t="s">
        <v>69</v>
      </c>
      <c r="AE13">
        <v>45</v>
      </c>
      <c r="AF13">
        <v>126</v>
      </c>
      <c r="AP13" t="s">
        <v>163</v>
      </c>
      <c r="AS13" t="s">
        <v>1452</v>
      </c>
      <c r="AT13" t="s">
        <v>732</v>
      </c>
      <c r="AU13">
        <v>15.1</v>
      </c>
      <c r="AZ13">
        <v>222042</v>
      </c>
    </row>
    <row r="14" spans="1:57" x14ac:dyDescent="0.3">
      <c r="A14" s="7">
        <v>25</v>
      </c>
      <c r="B14" t="s">
        <v>1425</v>
      </c>
      <c r="C14" t="s">
        <v>1426</v>
      </c>
      <c r="D14" t="s">
        <v>1453</v>
      </c>
      <c r="E14" t="s">
        <v>557</v>
      </c>
      <c r="F14" t="s">
        <v>1447</v>
      </c>
      <c r="G14" t="s">
        <v>1454</v>
      </c>
      <c r="H14" t="s">
        <v>1449</v>
      </c>
      <c r="I14" t="s">
        <v>216</v>
      </c>
      <c r="J14" t="s">
        <v>1450</v>
      </c>
      <c r="K14" t="s">
        <v>1431</v>
      </c>
      <c r="L14">
        <v>13812327391</v>
      </c>
      <c r="O14" s="2">
        <v>45580</v>
      </c>
      <c r="P14" s="2">
        <v>45945</v>
      </c>
      <c r="Q14" t="s">
        <v>65</v>
      </c>
      <c r="R14" t="s">
        <v>86</v>
      </c>
      <c r="S14" t="s">
        <v>155</v>
      </c>
      <c r="T14" t="s">
        <v>1455</v>
      </c>
      <c r="U14" t="s">
        <v>557</v>
      </c>
      <c r="V14" t="s">
        <v>57</v>
      </c>
      <c r="Z14" t="s">
        <v>113</v>
      </c>
      <c r="AA14" t="s">
        <v>159</v>
      </c>
      <c r="AB14" t="s">
        <v>65</v>
      </c>
      <c r="AC14">
        <v>815</v>
      </c>
      <c r="AD14" t="s">
        <v>69</v>
      </c>
      <c r="AE14">
        <v>45</v>
      </c>
      <c r="AF14">
        <v>126</v>
      </c>
      <c r="AP14" t="s">
        <v>163</v>
      </c>
      <c r="AS14" t="s">
        <v>1452</v>
      </c>
      <c r="AT14" t="s">
        <v>732</v>
      </c>
      <c r="AU14">
        <v>15.1</v>
      </c>
      <c r="AZ14">
        <v>222042</v>
      </c>
    </row>
    <row r="15" spans="1:57" x14ac:dyDescent="0.3">
      <c r="A15" s="7">
        <v>27</v>
      </c>
      <c r="B15" t="s">
        <v>1425</v>
      </c>
      <c r="C15" t="s">
        <v>1426</v>
      </c>
      <c r="D15" t="s">
        <v>1456</v>
      </c>
      <c r="E15" t="s">
        <v>557</v>
      </c>
      <c r="F15" t="s">
        <v>1447</v>
      </c>
      <c r="G15" t="s">
        <v>1457</v>
      </c>
      <c r="H15" t="s">
        <v>1458</v>
      </c>
      <c r="I15" t="s">
        <v>216</v>
      </c>
      <c r="J15" t="s">
        <v>1450</v>
      </c>
      <c r="K15" t="s">
        <v>1459</v>
      </c>
      <c r="L15">
        <v>15052497954</v>
      </c>
      <c r="N15" t="s">
        <v>1460</v>
      </c>
      <c r="O15" s="2">
        <v>45580</v>
      </c>
      <c r="P15" s="2">
        <v>45945</v>
      </c>
      <c r="Q15" t="s">
        <v>65</v>
      </c>
      <c r="R15" t="s">
        <v>86</v>
      </c>
      <c r="S15" t="s">
        <v>155</v>
      </c>
      <c r="T15" t="s">
        <v>1461</v>
      </c>
      <c r="U15" t="s">
        <v>557</v>
      </c>
      <c r="V15" t="s">
        <v>57</v>
      </c>
      <c r="Z15" t="s">
        <v>113</v>
      </c>
      <c r="AA15" t="s">
        <v>159</v>
      </c>
      <c r="AB15" t="s">
        <v>65</v>
      </c>
      <c r="AC15">
        <v>815</v>
      </c>
      <c r="AD15" t="s">
        <v>69</v>
      </c>
      <c r="AE15">
        <v>45</v>
      </c>
      <c r="AF15">
        <v>126</v>
      </c>
      <c r="AP15" t="s">
        <v>163</v>
      </c>
      <c r="AS15" t="s">
        <v>1452</v>
      </c>
      <c r="AT15" t="s">
        <v>732</v>
      </c>
      <c r="AU15">
        <v>15.1</v>
      </c>
      <c r="AZ15">
        <v>222000</v>
      </c>
    </row>
    <row r="16" spans="1:57" x14ac:dyDescent="0.3">
      <c r="A16" s="7">
        <v>28</v>
      </c>
      <c r="B16" t="s">
        <v>1425</v>
      </c>
      <c r="C16" t="s">
        <v>1426</v>
      </c>
      <c r="D16" t="s">
        <v>1462</v>
      </c>
      <c r="E16" t="s">
        <v>557</v>
      </c>
      <c r="F16" t="s">
        <v>1463</v>
      </c>
      <c r="G16" t="s">
        <v>1464</v>
      </c>
      <c r="H16" s="3">
        <v>45770</v>
      </c>
      <c r="I16" t="s">
        <v>1465</v>
      </c>
      <c r="J16" t="s">
        <v>1466</v>
      </c>
      <c r="K16" t="s">
        <v>1467</v>
      </c>
      <c r="L16">
        <v>18360636461</v>
      </c>
      <c r="N16" t="s">
        <v>1468</v>
      </c>
      <c r="O16" s="2">
        <v>45832</v>
      </c>
      <c r="P16" s="2">
        <v>46196</v>
      </c>
      <c r="Q16" t="s">
        <v>65</v>
      </c>
      <c r="R16" t="s">
        <v>86</v>
      </c>
      <c r="S16" t="s">
        <v>87</v>
      </c>
      <c r="T16" t="s">
        <v>1469</v>
      </c>
      <c r="U16" t="s">
        <v>557</v>
      </c>
      <c r="V16" t="s">
        <v>57</v>
      </c>
      <c r="Z16" t="s">
        <v>113</v>
      </c>
      <c r="AA16" t="s">
        <v>721</v>
      </c>
      <c r="AB16" t="s">
        <v>132</v>
      </c>
      <c r="AC16">
        <v>1630</v>
      </c>
      <c r="AD16" t="s">
        <v>69</v>
      </c>
      <c r="AE16">
        <v>45</v>
      </c>
      <c r="AF16">
        <v>144.30000000000001</v>
      </c>
      <c r="AP16" t="s">
        <v>93</v>
      </c>
      <c r="AT16" t="s">
        <v>1470</v>
      </c>
      <c r="AU16">
        <v>15.1</v>
      </c>
      <c r="AV16" t="s">
        <v>83</v>
      </c>
      <c r="AZ16">
        <v>222000</v>
      </c>
    </row>
    <row r="17" spans="1:53" x14ac:dyDescent="0.3">
      <c r="A17" s="7">
        <v>29</v>
      </c>
      <c r="B17" t="s">
        <v>1425</v>
      </c>
      <c r="C17" t="s">
        <v>1426</v>
      </c>
      <c r="D17" t="s">
        <v>1472</v>
      </c>
      <c r="E17" t="s">
        <v>214</v>
      </c>
      <c r="F17" t="s">
        <v>1428</v>
      </c>
      <c r="G17">
        <v>1110260</v>
      </c>
      <c r="H17" s="5">
        <v>45658</v>
      </c>
      <c r="I17" t="s">
        <v>1473</v>
      </c>
      <c r="J17" t="s">
        <v>1474</v>
      </c>
      <c r="K17" t="s">
        <v>1475</v>
      </c>
      <c r="L17">
        <v>13775445198</v>
      </c>
      <c r="N17" t="s">
        <v>1476</v>
      </c>
      <c r="O17" s="2">
        <v>45733</v>
      </c>
      <c r="P17" s="2">
        <v>46098</v>
      </c>
      <c r="Q17" t="s">
        <v>65</v>
      </c>
      <c r="R17" t="s">
        <v>86</v>
      </c>
      <c r="S17" t="s">
        <v>155</v>
      </c>
      <c r="T17" t="s">
        <v>1477</v>
      </c>
      <c r="U17" t="s">
        <v>214</v>
      </c>
      <c r="V17" t="s">
        <v>57</v>
      </c>
      <c r="Z17" t="s">
        <v>113</v>
      </c>
      <c r="AA17" t="s">
        <v>721</v>
      </c>
      <c r="AB17" t="s">
        <v>132</v>
      </c>
      <c r="AC17">
        <v>1240</v>
      </c>
      <c r="AD17" t="s">
        <v>69</v>
      </c>
      <c r="AE17">
        <v>32</v>
      </c>
      <c r="AF17">
        <v>115</v>
      </c>
      <c r="AP17" t="s">
        <v>93</v>
      </c>
      <c r="AT17" t="s">
        <v>1478</v>
      </c>
      <c r="AU17">
        <v>16</v>
      </c>
      <c r="AV17">
        <v>20</v>
      </c>
      <c r="AZ17">
        <v>222000</v>
      </c>
    </row>
    <row r="18" spans="1:53" x14ac:dyDescent="0.3">
      <c r="A18" s="7">
        <v>30</v>
      </c>
      <c r="B18" t="s">
        <v>1425</v>
      </c>
      <c r="C18" t="s">
        <v>1426</v>
      </c>
      <c r="D18" t="s">
        <v>1479</v>
      </c>
      <c r="E18" t="s">
        <v>214</v>
      </c>
      <c r="F18" t="s">
        <v>1428</v>
      </c>
      <c r="G18">
        <v>1110259</v>
      </c>
      <c r="H18" s="5">
        <v>45658</v>
      </c>
      <c r="I18" t="s">
        <v>1473</v>
      </c>
      <c r="J18" t="s">
        <v>1474</v>
      </c>
      <c r="K18" t="s">
        <v>1475</v>
      </c>
      <c r="L18">
        <v>13775445198</v>
      </c>
      <c r="N18" t="s">
        <v>1480</v>
      </c>
      <c r="O18" s="2">
        <v>45733</v>
      </c>
      <c r="P18" s="2">
        <v>46098</v>
      </c>
      <c r="Q18" t="s">
        <v>65</v>
      </c>
      <c r="R18" t="s">
        <v>86</v>
      </c>
      <c r="S18" t="s">
        <v>155</v>
      </c>
      <c r="T18" t="s">
        <v>1481</v>
      </c>
      <c r="U18" t="s">
        <v>214</v>
      </c>
      <c r="V18" t="s">
        <v>57</v>
      </c>
      <c r="Z18" t="s">
        <v>113</v>
      </c>
      <c r="AA18" t="s">
        <v>721</v>
      </c>
      <c r="AB18" t="s">
        <v>132</v>
      </c>
      <c r="AC18">
        <v>1240</v>
      </c>
      <c r="AD18" t="s">
        <v>69</v>
      </c>
      <c r="AE18">
        <v>32</v>
      </c>
      <c r="AF18">
        <v>115</v>
      </c>
      <c r="AP18" t="s">
        <v>93</v>
      </c>
      <c r="AT18" t="s">
        <v>1478</v>
      </c>
      <c r="AU18">
        <v>16</v>
      </c>
      <c r="AV18">
        <v>20</v>
      </c>
      <c r="AZ18">
        <v>222000</v>
      </c>
    </row>
    <row r="19" spans="1:53" x14ac:dyDescent="0.3">
      <c r="A19" s="7">
        <v>31</v>
      </c>
      <c r="B19" t="s">
        <v>1425</v>
      </c>
      <c r="C19" t="s">
        <v>1426</v>
      </c>
      <c r="D19" t="s">
        <v>1482</v>
      </c>
      <c r="E19" t="s">
        <v>214</v>
      </c>
      <c r="F19" t="s">
        <v>1428</v>
      </c>
      <c r="G19">
        <v>1110258</v>
      </c>
      <c r="H19" s="5">
        <v>45658</v>
      </c>
      <c r="I19" t="s">
        <v>1473</v>
      </c>
      <c r="J19" t="s">
        <v>1474</v>
      </c>
      <c r="K19" t="s">
        <v>1475</v>
      </c>
      <c r="L19">
        <v>13775445198</v>
      </c>
      <c r="N19" t="s">
        <v>1483</v>
      </c>
      <c r="O19" s="2">
        <v>45733</v>
      </c>
      <c r="P19" s="2">
        <v>46098</v>
      </c>
      <c r="Q19" t="s">
        <v>65</v>
      </c>
      <c r="R19" t="s">
        <v>86</v>
      </c>
      <c r="S19" t="s">
        <v>155</v>
      </c>
      <c r="T19" t="s">
        <v>1484</v>
      </c>
      <c r="U19" t="s">
        <v>214</v>
      </c>
      <c r="V19" t="s">
        <v>57</v>
      </c>
      <c r="Z19" t="s">
        <v>113</v>
      </c>
      <c r="AA19" t="s">
        <v>721</v>
      </c>
      <c r="AB19" t="s">
        <v>132</v>
      </c>
      <c r="AC19">
        <v>1240</v>
      </c>
      <c r="AD19" t="s">
        <v>69</v>
      </c>
      <c r="AE19">
        <v>32</v>
      </c>
      <c r="AF19">
        <v>115</v>
      </c>
      <c r="AP19" t="s">
        <v>93</v>
      </c>
      <c r="AT19" t="s">
        <v>1478</v>
      </c>
      <c r="AU19">
        <v>16</v>
      </c>
      <c r="AV19">
        <v>20</v>
      </c>
      <c r="AZ19">
        <v>222000</v>
      </c>
    </row>
    <row r="20" spans="1:53" x14ac:dyDescent="0.3">
      <c r="A20" s="7">
        <v>32</v>
      </c>
      <c r="B20" t="s">
        <v>1425</v>
      </c>
      <c r="C20" t="s">
        <v>1426</v>
      </c>
      <c r="D20" t="s">
        <v>1485</v>
      </c>
      <c r="E20" t="s">
        <v>214</v>
      </c>
      <c r="F20" t="s">
        <v>1428</v>
      </c>
      <c r="G20">
        <v>1110257</v>
      </c>
      <c r="H20" s="5">
        <v>45658</v>
      </c>
      <c r="I20" t="s">
        <v>1473</v>
      </c>
      <c r="J20" t="s">
        <v>1474</v>
      </c>
      <c r="K20" t="s">
        <v>1475</v>
      </c>
      <c r="L20">
        <v>13775445198</v>
      </c>
      <c r="N20" t="s">
        <v>1486</v>
      </c>
      <c r="O20" s="2">
        <v>45733</v>
      </c>
      <c r="P20" s="2">
        <v>46095</v>
      </c>
      <c r="Q20" t="s">
        <v>65</v>
      </c>
      <c r="R20" t="s">
        <v>86</v>
      </c>
      <c r="S20" t="s">
        <v>155</v>
      </c>
      <c r="T20" t="s">
        <v>1487</v>
      </c>
      <c r="U20" t="s">
        <v>214</v>
      </c>
      <c r="V20" t="s">
        <v>57</v>
      </c>
      <c r="Z20" t="s">
        <v>113</v>
      </c>
      <c r="AA20" t="s">
        <v>721</v>
      </c>
      <c r="AB20" t="s">
        <v>132</v>
      </c>
      <c r="AC20">
        <v>1240</v>
      </c>
      <c r="AD20" t="s">
        <v>69</v>
      </c>
      <c r="AE20">
        <v>32</v>
      </c>
      <c r="AF20">
        <v>115</v>
      </c>
      <c r="AP20" t="s">
        <v>93</v>
      </c>
      <c r="AT20" t="s">
        <v>1478</v>
      </c>
      <c r="AU20">
        <v>16</v>
      </c>
      <c r="AV20">
        <v>20</v>
      </c>
      <c r="AZ20">
        <v>222000</v>
      </c>
    </row>
    <row r="21" spans="1:53" x14ac:dyDescent="0.3">
      <c r="A21" s="7">
        <v>35</v>
      </c>
      <c r="B21" t="s">
        <v>1425</v>
      </c>
      <c r="C21" t="s">
        <v>1426</v>
      </c>
      <c r="D21" t="s">
        <v>1489</v>
      </c>
      <c r="E21" t="s">
        <v>214</v>
      </c>
      <c r="F21" t="s">
        <v>1490</v>
      </c>
      <c r="G21">
        <v>1460107</v>
      </c>
      <c r="H21" s="5">
        <v>45566</v>
      </c>
      <c r="I21" t="s">
        <v>1491</v>
      </c>
      <c r="J21" t="s">
        <v>1430</v>
      </c>
      <c r="K21" t="s">
        <v>204</v>
      </c>
      <c r="L21">
        <v>13961385712</v>
      </c>
      <c r="N21" t="s">
        <v>1492</v>
      </c>
      <c r="O21" s="2">
        <v>45671</v>
      </c>
      <c r="P21" s="2">
        <v>46036</v>
      </c>
      <c r="Q21" t="s">
        <v>65</v>
      </c>
      <c r="R21" t="s">
        <v>86</v>
      </c>
      <c r="S21" t="s">
        <v>155</v>
      </c>
      <c r="T21" t="s">
        <v>1493</v>
      </c>
      <c r="U21" t="s">
        <v>978</v>
      </c>
      <c r="V21" t="s">
        <v>57</v>
      </c>
      <c r="Z21" t="s">
        <v>113</v>
      </c>
      <c r="AA21" t="s">
        <v>721</v>
      </c>
      <c r="AB21" t="s">
        <v>132</v>
      </c>
      <c r="AC21">
        <v>2380</v>
      </c>
      <c r="AD21" t="s">
        <v>69</v>
      </c>
      <c r="AE21">
        <v>70</v>
      </c>
      <c r="AF21">
        <v>280</v>
      </c>
      <c r="AP21" t="s">
        <v>93</v>
      </c>
      <c r="AT21">
        <v>48</v>
      </c>
      <c r="AU21">
        <v>18</v>
      </c>
      <c r="AV21">
        <v>16</v>
      </c>
      <c r="AZ21">
        <v>222000</v>
      </c>
      <c r="BA21" t="s">
        <v>1488</v>
      </c>
    </row>
    <row r="22" spans="1:53" x14ac:dyDescent="0.3">
      <c r="A22" s="7">
        <v>36</v>
      </c>
      <c r="B22" t="s">
        <v>1425</v>
      </c>
      <c r="C22" t="s">
        <v>1426</v>
      </c>
      <c r="D22" t="s">
        <v>1494</v>
      </c>
      <c r="E22" t="s">
        <v>214</v>
      </c>
      <c r="F22" t="s">
        <v>1495</v>
      </c>
      <c r="G22">
        <v>1510104</v>
      </c>
      <c r="H22" s="5">
        <v>45566</v>
      </c>
      <c r="I22" t="s">
        <v>1496</v>
      </c>
      <c r="J22" t="s">
        <v>1474</v>
      </c>
      <c r="K22" t="s">
        <v>1475</v>
      </c>
      <c r="L22">
        <v>13775445198</v>
      </c>
      <c r="N22" t="s">
        <v>1497</v>
      </c>
      <c r="O22" s="2">
        <v>45671</v>
      </c>
      <c r="P22" s="2">
        <v>46036</v>
      </c>
      <c r="Q22" t="s">
        <v>65</v>
      </c>
      <c r="R22" t="s">
        <v>86</v>
      </c>
      <c r="S22" t="s">
        <v>155</v>
      </c>
      <c r="T22" t="s">
        <v>1498</v>
      </c>
      <c r="U22" t="s">
        <v>978</v>
      </c>
      <c r="V22" t="s">
        <v>57</v>
      </c>
      <c r="Z22" t="s">
        <v>113</v>
      </c>
      <c r="AA22" t="s">
        <v>721</v>
      </c>
      <c r="AB22" t="s">
        <v>132</v>
      </c>
      <c r="AC22">
        <v>3130</v>
      </c>
      <c r="AD22" t="s">
        <v>69</v>
      </c>
      <c r="AE22">
        <v>95</v>
      </c>
      <c r="AF22">
        <v>420</v>
      </c>
      <c r="AP22" t="s">
        <v>93</v>
      </c>
      <c r="AT22">
        <v>48</v>
      </c>
      <c r="AU22">
        <v>17.5</v>
      </c>
      <c r="AV22">
        <v>20</v>
      </c>
      <c r="AZ22">
        <v>222000</v>
      </c>
      <c r="BA22" t="s">
        <v>166</v>
      </c>
    </row>
    <row r="23" spans="1:53" x14ac:dyDescent="0.3">
      <c r="A23" s="7">
        <v>37</v>
      </c>
      <c r="B23" t="s">
        <v>1425</v>
      </c>
      <c r="C23" t="s">
        <v>1426</v>
      </c>
      <c r="D23" t="s">
        <v>1499</v>
      </c>
      <c r="E23" t="s">
        <v>62</v>
      </c>
      <c r="F23" t="s">
        <v>1500</v>
      </c>
      <c r="G23" t="s">
        <v>1501</v>
      </c>
      <c r="H23" s="5">
        <v>45292</v>
      </c>
      <c r="I23" t="s">
        <v>1502</v>
      </c>
      <c r="J23" t="s">
        <v>1430</v>
      </c>
      <c r="K23" t="s">
        <v>1503</v>
      </c>
      <c r="L23">
        <v>17851246511</v>
      </c>
      <c r="M23">
        <v>15905132989</v>
      </c>
      <c r="N23" t="s">
        <v>1504</v>
      </c>
      <c r="O23" s="2">
        <v>45371</v>
      </c>
      <c r="P23" s="2">
        <v>46101</v>
      </c>
      <c r="Q23" t="s">
        <v>65</v>
      </c>
      <c r="R23" t="s">
        <v>86</v>
      </c>
      <c r="S23" t="s">
        <v>87</v>
      </c>
      <c r="T23" t="s">
        <v>1505</v>
      </c>
      <c r="U23" t="s">
        <v>1506</v>
      </c>
      <c r="V23" t="s">
        <v>57</v>
      </c>
      <c r="Z23" t="s">
        <v>113</v>
      </c>
      <c r="AA23" t="s">
        <v>515</v>
      </c>
      <c r="AB23" t="s">
        <v>68</v>
      </c>
      <c r="AD23" t="s">
        <v>69</v>
      </c>
      <c r="AE23">
        <v>50</v>
      </c>
      <c r="AF23">
        <v>1720</v>
      </c>
      <c r="AO23" t="s">
        <v>83</v>
      </c>
      <c r="AP23" t="s">
        <v>93</v>
      </c>
      <c r="AQ23" t="s">
        <v>117</v>
      </c>
      <c r="AR23" t="s">
        <v>1507</v>
      </c>
      <c r="AT23" t="s">
        <v>1508</v>
      </c>
      <c r="AU23" t="s">
        <v>1509</v>
      </c>
      <c r="AV23">
        <v>40</v>
      </c>
      <c r="AZ23">
        <v>222000</v>
      </c>
    </row>
    <row r="24" spans="1:53" x14ac:dyDescent="0.3">
      <c r="A24" s="7">
        <v>38</v>
      </c>
      <c r="B24" t="s">
        <v>1425</v>
      </c>
      <c r="C24" t="s">
        <v>1426</v>
      </c>
      <c r="D24" t="s">
        <v>1510</v>
      </c>
      <c r="E24" t="s">
        <v>62</v>
      </c>
      <c r="F24" t="s">
        <v>1500</v>
      </c>
      <c r="G24" t="s">
        <v>1511</v>
      </c>
      <c r="H24" s="5">
        <v>45292</v>
      </c>
      <c r="I24" t="s">
        <v>1502</v>
      </c>
      <c r="J24" t="s">
        <v>1430</v>
      </c>
      <c r="K24" t="s">
        <v>1503</v>
      </c>
      <c r="L24">
        <v>17851246511</v>
      </c>
      <c r="M24">
        <v>15905132989</v>
      </c>
      <c r="N24" t="s">
        <v>1512</v>
      </c>
      <c r="O24" s="2">
        <v>45371</v>
      </c>
      <c r="P24" s="2">
        <v>46101</v>
      </c>
      <c r="Q24" t="s">
        <v>65</v>
      </c>
      <c r="R24" t="s">
        <v>86</v>
      </c>
      <c r="S24" t="s">
        <v>87</v>
      </c>
      <c r="T24" t="s">
        <v>1513</v>
      </c>
      <c r="U24" t="s">
        <v>1506</v>
      </c>
      <c r="V24" t="s">
        <v>57</v>
      </c>
      <c r="Z24" t="s">
        <v>113</v>
      </c>
      <c r="AA24" t="s">
        <v>515</v>
      </c>
      <c r="AB24" t="s">
        <v>68</v>
      </c>
      <c r="AD24" t="s">
        <v>69</v>
      </c>
      <c r="AE24">
        <v>50</v>
      </c>
      <c r="AF24">
        <v>1720</v>
      </c>
      <c r="AO24" t="s">
        <v>83</v>
      </c>
      <c r="AP24" t="s">
        <v>93</v>
      </c>
      <c r="AQ24" t="s">
        <v>117</v>
      </c>
      <c r="AR24" t="s">
        <v>1514</v>
      </c>
      <c r="AT24" t="s">
        <v>1508</v>
      </c>
      <c r="AU24" t="s">
        <v>1509</v>
      </c>
      <c r="AV24">
        <v>40</v>
      </c>
      <c r="AZ24">
        <v>222000</v>
      </c>
    </row>
    <row r="25" spans="1:53" x14ac:dyDescent="0.3">
      <c r="A25" s="7">
        <v>39</v>
      </c>
      <c r="B25" t="s">
        <v>1425</v>
      </c>
      <c r="C25" t="s">
        <v>1426</v>
      </c>
      <c r="D25" t="s">
        <v>1515</v>
      </c>
      <c r="E25" t="s">
        <v>214</v>
      </c>
      <c r="F25" t="s">
        <v>1428</v>
      </c>
      <c r="G25">
        <v>1110245</v>
      </c>
      <c r="H25" s="5">
        <v>45200</v>
      </c>
      <c r="I25" t="s">
        <v>1466</v>
      </c>
      <c r="J25" t="s">
        <v>1430</v>
      </c>
      <c r="K25" t="s">
        <v>1475</v>
      </c>
      <c r="L25">
        <v>13775445198</v>
      </c>
      <c r="N25" t="s">
        <v>1516</v>
      </c>
      <c r="O25" s="2">
        <v>45631</v>
      </c>
      <c r="P25" s="2">
        <v>45996</v>
      </c>
      <c r="Q25" t="s">
        <v>65</v>
      </c>
      <c r="R25" t="s">
        <v>86</v>
      </c>
      <c r="S25" t="s">
        <v>155</v>
      </c>
      <c r="T25" t="s">
        <v>1517</v>
      </c>
      <c r="U25" t="s">
        <v>214</v>
      </c>
      <c r="V25" t="s">
        <v>57</v>
      </c>
      <c r="Z25" t="s">
        <v>113</v>
      </c>
      <c r="AA25" t="s">
        <v>114</v>
      </c>
      <c r="AB25" t="s">
        <v>65</v>
      </c>
      <c r="AC25">
        <v>620</v>
      </c>
      <c r="AD25" t="s">
        <v>69</v>
      </c>
      <c r="AE25">
        <v>32</v>
      </c>
      <c r="AF25">
        <v>115</v>
      </c>
      <c r="AP25" t="s">
        <v>93</v>
      </c>
      <c r="AT25" t="s">
        <v>403</v>
      </c>
      <c r="AU25">
        <v>18</v>
      </c>
      <c r="AV25" t="s">
        <v>1518</v>
      </c>
      <c r="AZ25">
        <v>222000</v>
      </c>
      <c r="BA25" t="s">
        <v>166</v>
      </c>
    </row>
    <row r="26" spans="1:53" x14ac:dyDescent="0.3">
      <c r="A26" s="7">
        <v>40</v>
      </c>
      <c r="B26" t="s">
        <v>1425</v>
      </c>
      <c r="C26" t="s">
        <v>1426</v>
      </c>
      <c r="D26" t="s">
        <v>1519</v>
      </c>
      <c r="E26" t="s">
        <v>214</v>
      </c>
      <c r="F26" t="s">
        <v>1428</v>
      </c>
      <c r="G26">
        <v>1110242</v>
      </c>
      <c r="H26" s="5">
        <v>45200</v>
      </c>
      <c r="I26" t="s">
        <v>1520</v>
      </c>
      <c r="J26" t="s">
        <v>1430</v>
      </c>
      <c r="K26" t="s">
        <v>1475</v>
      </c>
      <c r="L26">
        <v>13775445198</v>
      </c>
      <c r="N26" t="s">
        <v>1521</v>
      </c>
      <c r="O26" s="2">
        <v>45631</v>
      </c>
      <c r="P26" s="2">
        <v>45996</v>
      </c>
      <c r="Q26" t="s">
        <v>65</v>
      </c>
      <c r="R26" t="s">
        <v>86</v>
      </c>
      <c r="S26" t="s">
        <v>155</v>
      </c>
      <c r="T26" t="s">
        <v>1522</v>
      </c>
      <c r="U26" t="s">
        <v>214</v>
      </c>
      <c r="V26" t="s">
        <v>57</v>
      </c>
      <c r="Z26" t="s">
        <v>113</v>
      </c>
      <c r="AA26" t="s">
        <v>114</v>
      </c>
      <c r="AB26" t="s">
        <v>65</v>
      </c>
      <c r="AC26">
        <v>620</v>
      </c>
      <c r="AD26" t="s">
        <v>69</v>
      </c>
      <c r="AE26">
        <v>32</v>
      </c>
      <c r="AF26">
        <v>115</v>
      </c>
      <c r="AP26" t="s">
        <v>93</v>
      </c>
      <c r="AT26" t="s">
        <v>403</v>
      </c>
      <c r="AU26">
        <v>18</v>
      </c>
      <c r="AV26" t="s">
        <v>1518</v>
      </c>
      <c r="AZ26">
        <v>222000</v>
      </c>
      <c r="BA26" t="s">
        <v>166</v>
      </c>
    </row>
    <row r="27" spans="1:53" x14ac:dyDescent="0.3">
      <c r="A27" s="7">
        <v>41</v>
      </c>
      <c r="B27" t="s">
        <v>1425</v>
      </c>
      <c r="C27" t="s">
        <v>1426</v>
      </c>
      <c r="D27" t="s">
        <v>1525</v>
      </c>
      <c r="E27" t="s">
        <v>557</v>
      </c>
      <c r="F27" t="s">
        <v>1463</v>
      </c>
      <c r="G27">
        <v>182300165</v>
      </c>
      <c r="H27" s="5">
        <v>44927</v>
      </c>
      <c r="I27" t="s">
        <v>1526</v>
      </c>
      <c r="J27" t="s">
        <v>1527</v>
      </c>
      <c r="K27" t="s">
        <v>1467</v>
      </c>
      <c r="L27">
        <v>18360636461</v>
      </c>
      <c r="N27" t="s">
        <v>1528</v>
      </c>
      <c r="O27" s="2">
        <v>45758</v>
      </c>
      <c r="P27" s="2">
        <v>46123</v>
      </c>
      <c r="Q27" t="s">
        <v>65</v>
      </c>
      <c r="R27" t="s">
        <v>86</v>
      </c>
      <c r="S27" t="s">
        <v>155</v>
      </c>
      <c r="T27" t="s">
        <v>1529</v>
      </c>
      <c r="U27" t="s">
        <v>557</v>
      </c>
      <c r="V27" t="s">
        <v>57</v>
      </c>
      <c r="AA27" t="s">
        <v>721</v>
      </c>
      <c r="AB27" t="s">
        <v>65</v>
      </c>
      <c r="AC27">
        <v>815</v>
      </c>
      <c r="AD27" t="s">
        <v>69</v>
      </c>
      <c r="AE27">
        <v>45</v>
      </c>
      <c r="AF27">
        <v>126.2</v>
      </c>
      <c r="AP27" t="s">
        <v>93</v>
      </c>
      <c r="AT27" t="s">
        <v>1530</v>
      </c>
      <c r="AU27">
        <v>15.1</v>
      </c>
      <c r="AV27" t="s">
        <v>83</v>
      </c>
      <c r="AZ27">
        <v>222042</v>
      </c>
      <c r="BA27" t="s">
        <v>166</v>
      </c>
    </row>
    <row r="28" spans="1:53" x14ac:dyDescent="0.3">
      <c r="A28" s="7">
        <v>42</v>
      </c>
      <c r="B28" t="s">
        <v>1425</v>
      </c>
      <c r="C28" t="s">
        <v>1426</v>
      </c>
      <c r="D28" t="s">
        <v>1531</v>
      </c>
      <c r="E28" t="s">
        <v>214</v>
      </c>
      <c r="F28" t="s">
        <v>1490</v>
      </c>
      <c r="G28">
        <v>1450142</v>
      </c>
      <c r="H28">
        <v>2022.09</v>
      </c>
      <c r="I28" t="s">
        <v>1532</v>
      </c>
      <c r="J28" t="s">
        <v>1430</v>
      </c>
      <c r="K28" t="s">
        <v>1431</v>
      </c>
      <c r="L28">
        <v>13812327391</v>
      </c>
      <c r="N28" t="s">
        <v>225</v>
      </c>
      <c r="O28" s="2">
        <v>45580</v>
      </c>
      <c r="P28" s="2">
        <v>45945</v>
      </c>
      <c r="Q28" t="s">
        <v>65</v>
      </c>
      <c r="R28" t="s">
        <v>86</v>
      </c>
      <c r="S28" t="s">
        <v>155</v>
      </c>
      <c r="T28" t="s">
        <v>1533</v>
      </c>
      <c r="U28" t="s">
        <v>214</v>
      </c>
      <c r="V28" t="s">
        <v>57</v>
      </c>
      <c r="AA28" t="s">
        <v>159</v>
      </c>
      <c r="AB28" t="s">
        <v>65</v>
      </c>
      <c r="AC28">
        <v>815</v>
      </c>
      <c r="AD28" t="s">
        <v>69</v>
      </c>
      <c r="AE28">
        <v>45</v>
      </c>
      <c r="AF28">
        <v>280</v>
      </c>
      <c r="AP28" t="s">
        <v>93</v>
      </c>
      <c r="AT28" t="s">
        <v>1534</v>
      </c>
      <c r="AU28" t="s">
        <v>1535</v>
      </c>
      <c r="AV28">
        <v>22</v>
      </c>
      <c r="AZ28">
        <v>222000</v>
      </c>
    </row>
    <row r="29" spans="1:53" x14ac:dyDescent="0.3">
      <c r="A29" s="7">
        <v>43</v>
      </c>
      <c r="B29" t="s">
        <v>1425</v>
      </c>
      <c r="C29" t="s">
        <v>1426</v>
      </c>
      <c r="D29" t="s">
        <v>1536</v>
      </c>
      <c r="E29" t="s">
        <v>214</v>
      </c>
      <c r="F29" t="s">
        <v>1490</v>
      </c>
      <c r="G29">
        <v>1450141</v>
      </c>
      <c r="H29">
        <v>2022.09</v>
      </c>
      <c r="I29" t="s">
        <v>1532</v>
      </c>
      <c r="J29" t="s">
        <v>1430</v>
      </c>
      <c r="K29" t="s">
        <v>1431</v>
      </c>
      <c r="L29">
        <v>13812327391</v>
      </c>
      <c r="N29" t="s">
        <v>225</v>
      </c>
      <c r="O29" s="2">
        <v>45580</v>
      </c>
      <c r="P29" s="2">
        <v>45945</v>
      </c>
      <c r="Q29" t="s">
        <v>65</v>
      </c>
      <c r="R29" t="s">
        <v>86</v>
      </c>
      <c r="S29" t="s">
        <v>155</v>
      </c>
      <c r="T29" t="s">
        <v>1537</v>
      </c>
      <c r="U29" t="s">
        <v>214</v>
      </c>
      <c r="V29" t="s">
        <v>57</v>
      </c>
      <c r="AA29" t="s">
        <v>159</v>
      </c>
      <c r="AB29" t="s">
        <v>65</v>
      </c>
      <c r="AC29">
        <v>815</v>
      </c>
      <c r="AD29" t="s">
        <v>69</v>
      </c>
      <c r="AE29">
        <v>45</v>
      </c>
      <c r="AF29">
        <v>280</v>
      </c>
      <c r="AP29" t="s">
        <v>93</v>
      </c>
      <c r="AT29" t="s">
        <v>1534</v>
      </c>
      <c r="AU29" t="s">
        <v>1535</v>
      </c>
      <c r="AV29">
        <v>22</v>
      </c>
      <c r="AZ29">
        <v>222000</v>
      </c>
    </row>
    <row r="30" spans="1:53" x14ac:dyDescent="0.3">
      <c r="A30" s="7">
        <v>44</v>
      </c>
      <c r="B30" t="s">
        <v>1425</v>
      </c>
      <c r="C30" t="s">
        <v>1426</v>
      </c>
      <c r="D30" t="s">
        <v>1538</v>
      </c>
      <c r="E30" t="s">
        <v>214</v>
      </c>
      <c r="F30" t="s">
        <v>215</v>
      </c>
      <c r="G30">
        <v>1110206</v>
      </c>
      <c r="H30" t="s">
        <v>83</v>
      </c>
      <c r="I30" t="s">
        <v>1539</v>
      </c>
      <c r="J30" t="s">
        <v>1430</v>
      </c>
      <c r="K30" t="s">
        <v>1540</v>
      </c>
      <c r="L30">
        <v>18352821898</v>
      </c>
      <c r="M30">
        <v>18352821898</v>
      </c>
      <c r="N30" t="s">
        <v>1541</v>
      </c>
      <c r="O30" s="2">
        <v>45754</v>
      </c>
      <c r="P30" s="2">
        <v>46119</v>
      </c>
      <c r="Q30" t="s">
        <v>65</v>
      </c>
      <c r="R30" t="s">
        <v>86</v>
      </c>
      <c r="S30" t="s">
        <v>155</v>
      </c>
      <c r="T30" t="s">
        <v>1542</v>
      </c>
      <c r="V30" t="s">
        <v>57</v>
      </c>
      <c r="X30" t="s">
        <v>1431</v>
      </c>
      <c r="Y30">
        <v>13812327391</v>
      </c>
      <c r="Z30" t="s">
        <v>113</v>
      </c>
      <c r="AA30" t="s">
        <v>159</v>
      </c>
      <c r="AB30" t="s">
        <v>65</v>
      </c>
      <c r="AC30">
        <v>620</v>
      </c>
      <c r="AD30" t="s">
        <v>69</v>
      </c>
      <c r="AE30">
        <v>32</v>
      </c>
      <c r="AF30">
        <v>115</v>
      </c>
      <c r="AP30" t="s">
        <v>163</v>
      </c>
      <c r="AS30" t="s">
        <v>60</v>
      </c>
      <c r="AT30" t="s">
        <v>220</v>
      </c>
      <c r="AU30">
        <v>15</v>
      </c>
      <c r="AV30">
        <v>20</v>
      </c>
      <c r="AZ30">
        <v>222042</v>
      </c>
    </row>
    <row r="31" spans="1:53" x14ac:dyDescent="0.3">
      <c r="A31" s="7">
        <v>45</v>
      </c>
      <c r="B31" t="s">
        <v>1425</v>
      </c>
      <c r="C31" t="s">
        <v>1426</v>
      </c>
      <c r="D31" t="s">
        <v>1543</v>
      </c>
      <c r="E31" t="s">
        <v>214</v>
      </c>
      <c r="F31" t="s">
        <v>215</v>
      </c>
      <c r="G31">
        <v>1110203</v>
      </c>
      <c r="H31" t="s">
        <v>83</v>
      </c>
      <c r="I31" t="s">
        <v>1539</v>
      </c>
      <c r="J31" t="s">
        <v>1430</v>
      </c>
      <c r="K31" t="s">
        <v>1540</v>
      </c>
      <c r="L31">
        <v>18352821898</v>
      </c>
      <c r="M31">
        <v>18352821898</v>
      </c>
      <c r="N31" t="s">
        <v>1544</v>
      </c>
      <c r="O31" s="2">
        <v>45754</v>
      </c>
      <c r="P31" s="2">
        <v>46119</v>
      </c>
      <c r="Q31" t="s">
        <v>65</v>
      </c>
      <c r="R31" t="s">
        <v>86</v>
      </c>
      <c r="S31" t="s">
        <v>155</v>
      </c>
      <c r="T31" t="s">
        <v>1545</v>
      </c>
      <c r="V31" t="s">
        <v>57</v>
      </c>
      <c r="X31" t="s">
        <v>1431</v>
      </c>
      <c r="Y31">
        <v>13812327391</v>
      </c>
      <c r="Z31" t="s">
        <v>113</v>
      </c>
      <c r="AA31" t="s">
        <v>159</v>
      </c>
      <c r="AB31" t="s">
        <v>65</v>
      </c>
      <c r="AC31">
        <v>620</v>
      </c>
      <c r="AD31" t="s">
        <v>69</v>
      </c>
      <c r="AE31">
        <v>32</v>
      </c>
      <c r="AF31">
        <v>115</v>
      </c>
      <c r="AP31" t="s">
        <v>163</v>
      </c>
      <c r="AS31" t="s">
        <v>60</v>
      </c>
      <c r="AT31" t="s">
        <v>220</v>
      </c>
      <c r="AU31">
        <v>15</v>
      </c>
      <c r="AV31">
        <v>20</v>
      </c>
      <c r="AZ31">
        <v>222042</v>
      </c>
    </row>
    <row r="32" spans="1:53" x14ac:dyDescent="0.3">
      <c r="A32" s="7">
        <v>46</v>
      </c>
      <c r="B32" t="s">
        <v>1425</v>
      </c>
      <c r="C32" t="s">
        <v>1426</v>
      </c>
      <c r="D32" t="s">
        <v>1546</v>
      </c>
      <c r="E32" t="s">
        <v>214</v>
      </c>
      <c r="F32" t="s">
        <v>215</v>
      </c>
      <c r="G32">
        <v>1110207</v>
      </c>
      <c r="H32" t="s">
        <v>83</v>
      </c>
      <c r="I32" t="s">
        <v>1429</v>
      </c>
      <c r="J32" t="s">
        <v>1430</v>
      </c>
      <c r="K32" t="s">
        <v>1540</v>
      </c>
      <c r="L32">
        <v>18352821898</v>
      </c>
      <c r="M32">
        <v>18352821898</v>
      </c>
      <c r="N32" t="s">
        <v>1547</v>
      </c>
      <c r="O32" s="2">
        <v>45754</v>
      </c>
      <c r="P32" s="2">
        <v>46119</v>
      </c>
      <c r="Q32" t="s">
        <v>65</v>
      </c>
      <c r="R32" t="s">
        <v>86</v>
      </c>
      <c r="S32" t="s">
        <v>155</v>
      </c>
      <c r="T32" t="s">
        <v>1548</v>
      </c>
      <c r="V32" t="s">
        <v>57</v>
      </c>
      <c r="X32" t="s">
        <v>1431</v>
      </c>
      <c r="Y32">
        <v>13812327391</v>
      </c>
      <c r="Z32" t="s">
        <v>113</v>
      </c>
      <c r="AA32" t="s">
        <v>159</v>
      </c>
      <c r="AB32" t="s">
        <v>65</v>
      </c>
      <c r="AC32">
        <v>620</v>
      </c>
      <c r="AD32" t="s">
        <v>69</v>
      </c>
      <c r="AE32">
        <v>32</v>
      </c>
      <c r="AF32">
        <v>115</v>
      </c>
      <c r="AP32" t="s">
        <v>163</v>
      </c>
      <c r="AS32" t="s">
        <v>83</v>
      </c>
      <c r="AT32" t="s">
        <v>220</v>
      </c>
      <c r="AU32">
        <v>15</v>
      </c>
      <c r="AV32">
        <v>20</v>
      </c>
      <c r="AZ32">
        <v>222042</v>
      </c>
    </row>
    <row r="33" spans="1:57" x14ac:dyDescent="0.3">
      <c r="A33" s="7">
        <v>47</v>
      </c>
      <c r="B33" t="s">
        <v>1425</v>
      </c>
      <c r="C33" t="s">
        <v>1426</v>
      </c>
      <c r="D33" t="s">
        <v>1549</v>
      </c>
      <c r="E33" t="s">
        <v>557</v>
      </c>
      <c r="F33" t="s">
        <v>725</v>
      </c>
      <c r="G33" t="s">
        <v>1550</v>
      </c>
      <c r="H33" s="3">
        <v>43974</v>
      </c>
      <c r="I33" t="s">
        <v>1429</v>
      </c>
      <c r="J33" t="s">
        <v>1430</v>
      </c>
      <c r="K33" t="s">
        <v>1551</v>
      </c>
      <c r="L33">
        <v>15365474466</v>
      </c>
      <c r="M33">
        <v>18352821898</v>
      </c>
      <c r="N33" t="s">
        <v>1552</v>
      </c>
      <c r="O33" s="2">
        <v>45758</v>
      </c>
      <c r="P33" s="2">
        <v>46123</v>
      </c>
      <c r="Q33" t="s">
        <v>65</v>
      </c>
      <c r="R33" t="s">
        <v>86</v>
      </c>
      <c r="S33" t="s">
        <v>155</v>
      </c>
      <c r="T33" t="s">
        <v>1553</v>
      </c>
      <c r="U33" t="s">
        <v>57</v>
      </c>
      <c r="V33" t="s">
        <v>57</v>
      </c>
      <c r="X33" t="s">
        <v>1554</v>
      </c>
      <c r="Y33">
        <v>13812327391</v>
      </c>
      <c r="Z33" t="s">
        <v>113</v>
      </c>
      <c r="AA33" t="s">
        <v>159</v>
      </c>
      <c r="AB33" t="s">
        <v>65</v>
      </c>
      <c r="AC33">
        <v>815</v>
      </c>
      <c r="AD33" t="s">
        <v>69</v>
      </c>
      <c r="AE33">
        <v>45</v>
      </c>
      <c r="AF33" t="s">
        <v>83</v>
      </c>
      <c r="AK33" t="s">
        <v>732</v>
      </c>
      <c r="AP33" t="s">
        <v>163</v>
      </c>
      <c r="AS33" t="s">
        <v>731</v>
      </c>
      <c r="AT33" t="s">
        <v>732</v>
      </c>
      <c r="AU33">
        <v>15.1</v>
      </c>
      <c r="AV33" t="s">
        <v>83</v>
      </c>
      <c r="AW33">
        <v>45</v>
      </c>
      <c r="AZ33">
        <v>222042</v>
      </c>
    </row>
    <row r="34" spans="1:57" x14ac:dyDescent="0.3">
      <c r="A34" s="7">
        <v>49</v>
      </c>
      <c r="B34" t="s">
        <v>1425</v>
      </c>
      <c r="C34" t="s">
        <v>1426</v>
      </c>
      <c r="D34" t="s">
        <v>1565</v>
      </c>
      <c r="E34" t="s">
        <v>62</v>
      </c>
      <c r="F34" t="s">
        <v>1566</v>
      </c>
      <c r="G34" t="s">
        <v>1567</v>
      </c>
      <c r="H34" s="3">
        <v>40505</v>
      </c>
      <c r="I34" t="s">
        <v>1568</v>
      </c>
      <c r="J34" t="s">
        <v>1430</v>
      </c>
      <c r="K34" t="s">
        <v>190</v>
      </c>
      <c r="L34">
        <v>15022369739</v>
      </c>
      <c r="M34">
        <v>15022369739</v>
      </c>
      <c r="N34" t="s">
        <v>1569</v>
      </c>
      <c r="O34" s="2">
        <v>45419</v>
      </c>
      <c r="P34" s="2">
        <v>46148</v>
      </c>
      <c r="Q34" t="s">
        <v>65</v>
      </c>
      <c r="R34" t="s">
        <v>86</v>
      </c>
      <c r="S34" t="s">
        <v>195</v>
      </c>
      <c r="T34" t="s">
        <v>1570</v>
      </c>
      <c r="U34" t="s">
        <v>67</v>
      </c>
      <c r="V34" t="s">
        <v>57</v>
      </c>
      <c r="Z34" t="s">
        <v>113</v>
      </c>
      <c r="AA34" t="s">
        <v>159</v>
      </c>
      <c r="AB34" t="s">
        <v>65</v>
      </c>
      <c r="AC34">
        <v>1190</v>
      </c>
      <c r="AD34" t="s">
        <v>69</v>
      </c>
      <c r="AE34">
        <v>40</v>
      </c>
      <c r="AF34">
        <v>1480</v>
      </c>
      <c r="AP34" t="s">
        <v>163</v>
      </c>
      <c r="AS34" t="s">
        <v>70</v>
      </c>
      <c r="AT34" t="s">
        <v>1139</v>
      </c>
      <c r="AU34" t="s">
        <v>1571</v>
      </c>
      <c r="AV34">
        <v>27</v>
      </c>
      <c r="AW34">
        <v>40</v>
      </c>
      <c r="AX34">
        <v>40</v>
      </c>
      <c r="AZ34">
        <v>222000</v>
      </c>
      <c r="BA34" t="s">
        <v>166</v>
      </c>
    </row>
    <row r="35" spans="1:57" x14ac:dyDescent="0.3">
      <c r="A35" s="7">
        <v>50</v>
      </c>
      <c r="B35" t="s">
        <v>1425</v>
      </c>
      <c r="C35" t="s">
        <v>1426</v>
      </c>
      <c r="D35" t="s">
        <v>1572</v>
      </c>
      <c r="E35" t="s">
        <v>62</v>
      </c>
      <c r="F35" t="s">
        <v>1573</v>
      </c>
      <c r="G35" s="6">
        <v>38018</v>
      </c>
      <c r="H35" s="3">
        <v>71498</v>
      </c>
      <c r="I35" t="s">
        <v>1574</v>
      </c>
      <c r="J35" t="s">
        <v>1430</v>
      </c>
      <c r="K35" t="s">
        <v>1540</v>
      </c>
      <c r="L35">
        <v>18352821898</v>
      </c>
      <c r="N35" t="s">
        <v>1575</v>
      </c>
      <c r="O35" s="2">
        <v>45393</v>
      </c>
      <c r="P35" s="2">
        <v>46122</v>
      </c>
      <c r="Q35" t="s">
        <v>65</v>
      </c>
      <c r="R35" t="s">
        <v>86</v>
      </c>
      <c r="S35" t="s">
        <v>87</v>
      </c>
      <c r="T35" t="s">
        <v>1576</v>
      </c>
      <c r="U35" t="s">
        <v>67</v>
      </c>
      <c r="V35" t="s">
        <v>57</v>
      </c>
      <c r="X35" t="s">
        <v>204</v>
      </c>
      <c r="Z35" t="s">
        <v>113</v>
      </c>
      <c r="AA35" t="s">
        <v>159</v>
      </c>
      <c r="AB35" t="s">
        <v>65</v>
      </c>
      <c r="AC35">
        <v>930</v>
      </c>
      <c r="AD35" t="s">
        <v>69</v>
      </c>
      <c r="AE35">
        <v>16</v>
      </c>
      <c r="AF35">
        <v>376</v>
      </c>
      <c r="AK35">
        <v>1</v>
      </c>
      <c r="AP35" t="s">
        <v>93</v>
      </c>
      <c r="AS35" t="s">
        <v>1577</v>
      </c>
      <c r="AT35" t="s">
        <v>1578</v>
      </c>
      <c r="AU35" t="s">
        <v>1579</v>
      </c>
      <c r="AV35">
        <v>27</v>
      </c>
      <c r="AW35">
        <v>16</v>
      </c>
      <c r="AZ35">
        <v>222000</v>
      </c>
    </row>
    <row r="36" spans="1:57" x14ac:dyDescent="0.3">
      <c r="A36" s="7">
        <v>51</v>
      </c>
      <c r="B36" t="s">
        <v>1425</v>
      </c>
      <c r="C36" t="s">
        <v>1426</v>
      </c>
      <c r="D36" t="s">
        <v>1582</v>
      </c>
      <c r="E36" t="s">
        <v>124</v>
      </c>
      <c r="F36" t="s">
        <v>1583</v>
      </c>
      <c r="G36">
        <v>1909141</v>
      </c>
      <c r="I36" t="s">
        <v>1584</v>
      </c>
      <c r="J36" t="s">
        <v>1430</v>
      </c>
      <c r="K36" t="s">
        <v>986</v>
      </c>
      <c r="L36">
        <v>15022369739</v>
      </c>
      <c r="N36" t="s">
        <v>83</v>
      </c>
      <c r="O36" s="2">
        <v>45287</v>
      </c>
      <c r="P36" s="2">
        <v>46018</v>
      </c>
      <c r="Q36" t="s">
        <v>65</v>
      </c>
      <c r="R36" t="s">
        <v>86</v>
      </c>
      <c r="S36" t="s">
        <v>87</v>
      </c>
      <c r="T36" t="s">
        <v>1585</v>
      </c>
      <c r="U36" t="s">
        <v>124</v>
      </c>
      <c r="V36" t="s">
        <v>57</v>
      </c>
      <c r="X36" t="s">
        <v>986</v>
      </c>
      <c r="Y36">
        <v>15996119008</v>
      </c>
      <c r="AA36" t="s">
        <v>159</v>
      </c>
      <c r="AB36" t="s">
        <v>65</v>
      </c>
      <c r="AC36">
        <v>550</v>
      </c>
      <c r="AD36" t="s">
        <v>69</v>
      </c>
      <c r="AE36">
        <v>5</v>
      </c>
      <c r="AH36">
        <v>10.55</v>
      </c>
      <c r="AP36" t="s">
        <v>60</v>
      </c>
      <c r="AQ36" t="s">
        <v>94</v>
      </c>
      <c r="AS36" t="s">
        <v>1242</v>
      </c>
      <c r="AT36">
        <v>8</v>
      </c>
      <c r="AU36">
        <v>6</v>
      </c>
      <c r="AV36">
        <v>15.5</v>
      </c>
      <c r="AW36">
        <v>5</v>
      </c>
      <c r="AZ36">
        <v>222000</v>
      </c>
      <c r="BA36" t="s">
        <v>166</v>
      </c>
      <c r="BB36" t="s">
        <v>248</v>
      </c>
      <c r="BD36" t="s">
        <v>385</v>
      </c>
      <c r="BE36" t="s">
        <v>250</v>
      </c>
    </row>
    <row r="37" spans="1:57" x14ac:dyDescent="0.3">
      <c r="A37" s="7">
        <v>52</v>
      </c>
      <c r="B37" t="s">
        <v>1425</v>
      </c>
      <c r="C37" t="s">
        <v>1426</v>
      </c>
      <c r="D37" t="s">
        <v>1586</v>
      </c>
      <c r="E37" t="s">
        <v>124</v>
      </c>
      <c r="F37" t="s">
        <v>1587</v>
      </c>
      <c r="G37">
        <v>1909143</v>
      </c>
      <c r="H37" s="3">
        <v>43739</v>
      </c>
      <c r="I37" t="s">
        <v>1588</v>
      </c>
      <c r="J37" t="s">
        <v>1430</v>
      </c>
      <c r="K37" t="s">
        <v>986</v>
      </c>
      <c r="L37">
        <v>18352821898</v>
      </c>
      <c r="N37" t="s">
        <v>83</v>
      </c>
      <c r="O37" s="2">
        <v>45248</v>
      </c>
      <c r="P37" s="2">
        <v>45979</v>
      </c>
      <c r="Q37" t="s">
        <v>65</v>
      </c>
      <c r="R37" t="s">
        <v>86</v>
      </c>
      <c r="S37" t="s">
        <v>87</v>
      </c>
      <c r="T37" t="s">
        <v>1589</v>
      </c>
      <c r="U37" t="s">
        <v>124</v>
      </c>
      <c r="V37" t="s">
        <v>57</v>
      </c>
      <c r="X37" t="s">
        <v>986</v>
      </c>
      <c r="Y37">
        <v>15996119008</v>
      </c>
      <c r="AA37" t="s">
        <v>159</v>
      </c>
      <c r="AB37" t="s">
        <v>65</v>
      </c>
      <c r="AC37">
        <v>600</v>
      </c>
      <c r="AD37" t="s">
        <v>69</v>
      </c>
      <c r="AE37">
        <v>10</v>
      </c>
      <c r="AH37">
        <v>16.52</v>
      </c>
      <c r="AK37">
        <v>7</v>
      </c>
      <c r="AP37" t="s">
        <v>163</v>
      </c>
      <c r="AQ37" t="s">
        <v>117</v>
      </c>
      <c r="AS37" t="s">
        <v>1242</v>
      </c>
      <c r="AT37">
        <v>7</v>
      </c>
      <c r="AU37">
        <v>9</v>
      </c>
      <c r="AV37">
        <v>15.5</v>
      </c>
      <c r="AW37">
        <v>10</v>
      </c>
      <c r="AZ37">
        <v>222000</v>
      </c>
      <c r="BB37" t="s">
        <v>248</v>
      </c>
      <c r="BD37" t="s">
        <v>385</v>
      </c>
      <c r="BE37" t="s">
        <v>250</v>
      </c>
    </row>
    <row r="38" spans="1:57" x14ac:dyDescent="0.3">
      <c r="A38" s="7">
        <v>53</v>
      </c>
      <c r="B38" t="s">
        <v>1425</v>
      </c>
      <c r="C38" t="s">
        <v>1426</v>
      </c>
      <c r="D38" t="s">
        <v>1590</v>
      </c>
      <c r="E38" t="s">
        <v>124</v>
      </c>
      <c r="F38" t="s">
        <v>1591</v>
      </c>
      <c r="G38">
        <v>1909140</v>
      </c>
      <c r="H38" t="s">
        <v>83</v>
      </c>
      <c r="I38" t="s">
        <v>1592</v>
      </c>
      <c r="J38" t="s">
        <v>1430</v>
      </c>
      <c r="K38" t="s">
        <v>986</v>
      </c>
      <c r="L38">
        <v>15022369739</v>
      </c>
      <c r="N38" t="s">
        <v>83</v>
      </c>
      <c r="O38" s="2">
        <v>45287</v>
      </c>
      <c r="P38" s="2">
        <v>46018</v>
      </c>
      <c r="Q38" t="s">
        <v>65</v>
      </c>
      <c r="R38" t="s">
        <v>86</v>
      </c>
      <c r="S38" t="s">
        <v>87</v>
      </c>
      <c r="T38" t="s">
        <v>1593</v>
      </c>
      <c r="U38" t="s">
        <v>124</v>
      </c>
      <c r="V38" t="s">
        <v>57</v>
      </c>
      <c r="X38" t="s">
        <v>986</v>
      </c>
      <c r="Y38">
        <v>15996119008</v>
      </c>
      <c r="AA38" t="s">
        <v>159</v>
      </c>
      <c r="AB38" t="s">
        <v>65</v>
      </c>
      <c r="AC38">
        <v>550</v>
      </c>
      <c r="AD38" t="s">
        <v>69</v>
      </c>
      <c r="AE38">
        <v>5</v>
      </c>
      <c r="AH38">
        <v>10.48</v>
      </c>
      <c r="AP38" t="s">
        <v>60</v>
      </c>
      <c r="AQ38" t="s">
        <v>94</v>
      </c>
      <c r="AS38" t="s">
        <v>1242</v>
      </c>
      <c r="AT38">
        <v>8</v>
      </c>
      <c r="AU38">
        <v>6</v>
      </c>
      <c r="AV38">
        <v>15.5</v>
      </c>
      <c r="AW38">
        <v>5</v>
      </c>
      <c r="AZ38">
        <v>222000</v>
      </c>
      <c r="BA38" t="s">
        <v>166</v>
      </c>
      <c r="BB38" t="s">
        <v>248</v>
      </c>
      <c r="BD38" t="s">
        <v>385</v>
      </c>
      <c r="BE38" t="s">
        <v>250</v>
      </c>
    </row>
    <row r="39" spans="1:57" x14ac:dyDescent="0.3">
      <c r="A39" s="7">
        <v>54</v>
      </c>
      <c r="B39" t="s">
        <v>1425</v>
      </c>
      <c r="C39" t="s">
        <v>1426</v>
      </c>
      <c r="D39" t="s">
        <v>1594</v>
      </c>
      <c r="E39" t="s">
        <v>124</v>
      </c>
      <c r="F39" t="s">
        <v>1587</v>
      </c>
      <c r="G39">
        <v>1909142</v>
      </c>
      <c r="H39" s="3">
        <v>43739</v>
      </c>
      <c r="I39" t="s">
        <v>1595</v>
      </c>
      <c r="J39" t="s">
        <v>1430</v>
      </c>
      <c r="K39" t="s">
        <v>986</v>
      </c>
      <c r="L39">
        <v>18352821898</v>
      </c>
      <c r="N39" t="s">
        <v>83</v>
      </c>
      <c r="O39" s="2">
        <v>45248</v>
      </c>
      <c r="P39" s="2">
        <v>45979</v>
      </c>
      <c r="Q39" t="s">
        <v>65</v>
      </c>
      <c r="R39" t="s">
        <v>86</v>
      </c>
      <c r="S39" t="s">
        <v>87</v>
      </c>
      <c r="T39" t="s">
        <v>1596</v>
      </c>
      <c r="U39" t="s">
        <v>124</v>
      </c>
      <c r="V39" t="s">
        <v>57</v>
      </c>
      <c r="X39" t="s">
        <v>986</v>
      </c>
      <c r="Y39">
        <v>15996119008</v>
      </c>
      <c r="AA39" t="s">
        <v>159</v>
      </c>
      <c r="AB39" t="s">
        <v>65</v>
      </c>
      <c r="AC39">
        <v>600</v>
      </c>
      <c r="AD39" t="s">
        <v>69</v>
      </c>
      <c r="AE39">
        <v>10</v>
      </c>
      <c r="AH39">
        <v>16.52</v>
      </c>
      <c r="AK39">
        <v>7</v>
      </c>
      <c r="AP39" t="s">
        <v>163</v>
      </c>
      <c r="AQ39" t="s">
        <v>117</v>
      </c>
      <c r="AS39" t="s">
        <v>1242</v>
      </c>
      <c r="AT39">
        <v>7</v>
      </c>
      <c r="AU39">
        <v>9</v>
      </c>
      <c r="AV39">
        <v>15.5</v>
      </c>
      <c r="AW39">
        <v>10</v>
      </c>
      <c r="AZ39">
        <v>222000</v>
      </c>
      <c r="BB39" t="s">
        <v>248</v>
      </c>
      <c r="BD39" t="s">
        <v>385</v>
      </c>
      <c r="BE39" t="s">
        <v>250</v>
      </c>
    </row>
    <row r="40" spans="1:57" x14ac:dyDescent="0.3">
      <c r="A40" s="7">
        <v>55</v>
      </c>
      <c r="B40" t="s">
        <v>1425</v>
      </c>
      <c r="C40" t="s">
        <v>1426</v>
      </c>
      <c r="D40" t="s">
        <v>1597</v>
      </c>
      <c r="E40" t="s">
        <v>557</v>
      </c>
      <c r="F40" t="s">
        <v>1598</v>
      </c>
      <c r="G40" t="s">
        <v>1599</v>
      </c>
      <c r="H40" s="3">
        <v>43328</v>
      </c>
      <c r="I40" t="s">
        <v>1600</v>
      </c>
      <c r="J40" t="s">
        <v>1430</v>
      </c>
      <c r="K40" t="s">
        <v>1601</v>
      </c>
      <c r="L40">
        <v>18061393719</v>
      </c>
      <c r="M40">
        <v>18061393719</v>
      </c>
      <c r="N40" t="s">
        <v>1602</v>
      </c>
      <c r="O40" s="2">
        <v>45758</v>
      </c>
      <c r="P40" s="2">
        <v>46123</v>
      </c>
      <c r="Q40" t="s">
        <v>65</v>
      </c>
      <c r="R40" t="s">
        <v>86</v>
      </c>
      <c r="S40" t="s">
        <v>155</v>
      </c>
      <c r="T40" t="s">
        <v>1603</v>
      </c>
      <c r="V40" t="s">
        <v>57</v>
      </c>
      <c r="X40" t="s">
        <v>1580</v>
      </c>
      <c r="Y40">
        <v>15861202834</v>
      </c>
      <c r="Z40" t="s">
        <v>113</v>
      </c>
      <c r="AA40" t="s">
        <v>159</v>
      </c>
      <c r="AB40" t="s">
        <v>65</v>
      </c>
      <c r="AC40">
        <v>815</v>
      </c>
      <c r="AD40" t="s">
        <v>69</v>
      </c>
      <c r="AE40">
        <v>45</v>
      </c>
      <c r="AF40">
        <v>88.5</v>
      </c>
      <c r="AK40">
        <v>25.2</v>
      </c>
      <c r="AP40" t="s">
        <v>163</v>
      </c>
      <c r="AS40" t="s">
        <v>60</v>
      </c>
      <c r="AT40">
        <v>25.2</v>
      </c>
      <c r="AU40">
        <v>15.1</v>
      </c>
      <c r="AZ40">
        <v>222000</v>
      </c>
      <c r="BA40" t="s">
        <v>166</v>
      </c>
    </row>
    <row r="41" spans="1:57" x14ac:dyDescent="0.3">
      <c r="A41" s="7">
        <v>56</v>
      </c>
      <c r="B41" t="s">
        <v>1425</v>
      </c>
      <c r="C41" t="s">
        <v>1426</v>
      </c>
      <c r="D41" t="s">
        <v>1604</v>
      </c>
      <c r="E41" t="s">
        <v>214</v>
      </c>
      <c r="F41" t="s">
        <v>1307</v>
      </c>
      <c r="G41">
        <v>1030126</v>
      </c>
      <c r="I41" t="s">
        <v>1600</v>
      </c>
      <c r="J41" t="s">
        <v>1430</v>
      </c>
      <c r="K41" t="s">
        <v>1601</v>
      </c>
      <c r="L41">
        <v>18061393719</v>
      </c>
      <c r="M41">
        <v>18061393719</v>
      </c>
      <c r="N41" t="s">
        <v>1605</v>
      </c>
      <c r="O41" s="2">
        <v>45758</v>
      </c>
      <c r="P41" s="2">
        <v>46123</v>
      </c>
      <c r="Q41" t="s">
        <v>65</v>
      </c>
      <c r="R41" t="s">
        <v>86</v>
      </c>
      <c r="S41" t="s">
        <v>155</v>
      </c>
      <c r="T41" t="s">
        <v>1606</v>
      </c>
      <c r="U41" t="s">
        <v>214</v>
      </c>
      <c r="V41" t="s">
        <v>57</v>
      </c>
      <c r="X41" t="s">
        <v>1580</v>
      </c>
      <c r="Z41" t="s">
        <v>113</v>
      </c>
      <c r="AA41" t="s">
        <v>159</v>
      </c>
      <c r="AB41" t="s">
        <v>65</v>
      </c>
      <c r="AC41">
        <v>515</v>
      </c>
      <c r="AD41" t="s">
        <v>69</v>
      </c>
      <c r="AE41">
        <v>25</v>
      </c>
      <c r="AF41">
        <v>102</v>
      </c>
      <c r="AK41">
        <v>1.75</v>
      </c>
      <c r="AP41" t="s">
        <v>93</v>
      </c>
      <c r="AS41" t="s">
        <v>344</v>
      </c>
      <c r="AT41">
        <v>1.75</v>
      </c>
      <c r="AU41">
        <v>18</v>
      </c>
      <c r="AV41">
        <v>20</v>
      </c>
      <c r="AW41">
        <v>25</v>
      </c>
      <c r="AZ41">
        <v>222000</v>
      </c>
      <c r="BA41" t="s">
        <v>166</v>
      </c>
    </row>
    <row r="42" spans="1:57" x14ac:dyDescent="0.3">
      <c r="A42" s="7">
        <v>57</v>
      </c>
      <c r="B42" t="s">
        <v>1425</v>
      </c>
      <c r="C42" t="s">
        <v>1426</v>
      </c>
      <c r="D42" t="s">
        <v>1607</v>
      </c>
      <c r="E42" t="s">
        <v>62</v>
      </c>
      <c r="F42" t="s">
        <v>146</v>
      </c>
      <c r="G42">
        <v>201902465</v>
      </c>
      <c r="H42" t="s">
        <v>83</v>
      </c>
      <c r="I42" t="s">
        <v>1608</v>
      </c>
      <c r="J42" t="s">
        <v>1430</v>
      </c>
      <c r="K42" t="s">
        <v>204</v>
      </c>
      <c r="L42">
        <v>15022369739</v>
      </c>
      <c r="N42" t="s">
        <v>1609</v>
      </c>
      <c r="O42" s="2">
        <v>45705</v>
      </c>
      <c r="P42" s="2">
        <v>46435</v>
      </c>
      <c r="Q42" t="s">
        <v>65</v>
      </c>
      <c r="R42" t="s">
        <v>86</v>
      </c>
      <c r="S42" t="s">
        <v>155</v>
      </c>
      <c r="T42" t="s">
        <v>1610</v>
      </c>
      <c r="U42" t="s">
        <v>67</v>
      </c>
      <c r="V42" t="s">
        <v>57</v>
      </c>
      <c r="X42" t="s">
        <v>209</v>
      </c>
      <c r="Z42" t="s">
        <v>113</v>
      </c>
      <c r="AA42" t="s">
        <v>159</v>
      </c>
      <c r="AB42" t="s">
        <v>65</v>
      </c>
      <c r="AC42">
        <v>930</v>
      </c>
      <c r="AD42" t="s">
        <v>69</v>
      </c>
      <c r="AE42">
        <v>10</v>
      </c>
      <c r="AF42">
        <v>300</v>
      </c>
      <c r="AK42">
        <v>1</v>
      </c>
      <c r="AP42" t="s">
        <v>93</v>
      </c>
      <c r="AS42" t="s">
        <v>210</v>
      </c>
      <c r="AT42">
        <v>60</v>
      </c>
      <c r="AU42">
        <f>-15-25</f>
        <v>-40</v>
      </c>
      <c r="AV42">
        <v>28</v>
      </c>
      <c r="AW42">
        <v>10</v>
      </c>
      <c r="AZ42">
        <v>222000</v>
      </c>
      <c r="BA42" t="s">
        <v>166</v>
      </c>
    </row>
    <row r="43" spans="1:57" x14ac:dyDescent="0.3">
      <c r="A43" s="7">
        <v>58</v>
      </c>
      <c r="B43" t="s">
        <v>1425</v>
      </c>
      <c r="C43" t="s">
        <v>1426</v>
      </c>
      <c r="D43" t="s">
        <v>1611</v>
      </c>
      <c r="E43" t="s">
        <v>214</v>
      </c>
      <c r="F43" t="s">
        <v>1307</v>
      </c>
      <c r="G43">
        <v>1030128</v>
      </c>
      <c r="H43" s="3">
        <v>42248</v>
      </c>
      <c r="I43" t="s">
        <v>1600</v>
      </c>
      <c r="J43" t="s">
        <v>1430</v>
      </c>
      <c r="K43" t="s">
        <v>1601</v>
      </c>
      <c r="L43">
        <v>18061393719</v>
      </c>
      <c r="M43">
        <v>18061393719</v>
      </c>
      <c r="N43" t="s">
        <v>1612</v>
      </c>
      <c r="O43" s="2">
        <v>45758</v>
      </c>
      <c r="P43" s="2">
        <v>46123</v>
      </c>
      <c r="Q43" t="s">
        <v>65</v>
      </c>
      <c r="R43" t="s">
        <v>86</v>
      </c>
      <c r="S43" t="s">
        <v>155</v>
      </c>
      <c r="T43" t="s">
        <v>1613</v>
      </c>
      <c r="U43" t="s">
        <v>214</v>
      </c>
      <c r="V43" t="s">
        <v>57</v>
      </c>
      <c r="X43" t="s">
        <v>1580</v>
      </c>
      <c r="Z43" t="s">
        <v>113</v>
      </c>
      <c r="AA43" t="s">
        <v>159</v>
      </c>
      <c r="AB43" t="s">
        <v>65</v>
      </c>
      <c r="AC43">
        <v>515</v>
      </c>
      <c r="AD43" t="s">
        <v>69</v>
      </c>
      <c r="AE43">
        <v>25</v>
      </c>
      <c r="AF43">
        <v>102</v>
      </c>
      <c r="AK43">
        <v>1.7</v>
      </c>
      <c r="AP43" t="s">
        <v>163</v>
      </c>
      <c r="AS43" t="s">
        <v>83</v>
      </c>
      <c r="AT43">
        <v>175</v>
      </c>
      <c r="AU43">
        <v>18</v>
      </c>
      <c r="AV43">
        <v>20</v>
      </c>
      <c r="AZ43">
        <v>222000</v>
      </c>
      <c r="BA43" t="s">
        <v>166</v>
      </c>
    </row>
    <row r="44" spans="1:57" x14ac:dyDescent="0.3">
      <c r="A44" s="7">
        <v>59</v>
      </c>
      <c r="B44" t="s">
        <v>1425</v>
      </c>
      <c r="C44" t="s">
        <v>1426</v>
      </c>
      <c r="D44" t="s">
        <v>1614</v>
      </c>
      <c r="E44" t="s">
        <v>124</v>
      </c>
      <c r="F44" t="s">
        <v>1615</v>
      </c>
      <c r="G44">
        <v>10100493</v>
      </c>
      <c r="H44" s="3">
        <v>40483</v>
      </c>
      <c r="I44" t="s">
        <v>1616</v>
      </c>
      <c r="J44" t="s">
        <v>1430</v>
      </c>
      <c r="K44" t="s">
        <v>204</v>
      </c>
      <c r="L44">
        <v>18352821898</v>
      </c>
      <c r="N44" t="s">
        <v>1617</v>
      </c>
      <c r="O44" s="2">
        <v>45579</v>
      </c>
      <c r="P44" s="2">
        <v>46309</v>
      </c>
      <c r="Q44" t="s">
        <v>65</v>
      </c>
      <c r="R44" t="s">
        <v>86</v>
      </c>
      <c r="S44" t="s">
        <v>155</v>
      </c>
      <c r="T44" t="s">
        <v>1618</v>
      </c>
      <c r="U44" t="s">
        <v>124</v>
      </c>
      <c r="V44" t="s">
        <v>57</v>
      </c>
      <c r="Z44" t="s">
        <v>113</v>
      </c>
      <c r="AA44" t="s">
        <v>290</v>
      </c>
      <c r="AB44" t="s">
        <v>65</v>
      </c>
      <c r="AC44">
        <v>600</v>
      </c>
      <c r="AD44" t="s">
        <v>69</v>
      </c>
      <c r="AE44">
        <v>10</v>
      </c>
      <c r="AH44">
        <v>19.05</v>
      </c>
      <c r="AK44">
        <v>7</v>
      </c>
      <c r="AN44">
        <v>15.5</v>
      </c>
      <c r="AP44" t="s">
        <v>163</v>
      </c>
      <c r="AQ44" t="s">
        <v>94</v>
      </c>
      <c r="AS44" t="s">
        <v>1619</v>
      </c>
      <c r="AT44">
        <v>7</v>
      </c>
      <c r="AU44">
        <v>8</v>
      </c>
      <c r="AV44">
        <v>15.5</v>
      </c>
      <c r="AW44">
        <v>10</v>
      </c>
      <c r="AZ44">
        <v>222000</v>
      </c>
      <c r="BB44" t="s">
        <v>248</v>
      </c>
      <c r="BD44" t="s">
        <v>385</v>
      </c>
      <c r="BE44" t="s">
        <v>386</v>
      </c>
    </row>
    <row r="45" spans="1:57" x14ac:dyDescent="0.3">
      <c r="A45" s="7">
        <v>60</v>
      </c>
      <c r="B45" t="s">
        <v>1425</v>
      </c>
      <c r="C45" t="s">
        <v>1426</v>
      </c>
      <c r="D45" t="s">
        <v>1620</v>
      </c>
      <c r="E45" t="s">
        <v>124</v>
      </c>
      <c r="F45" t="s">
        <v>1615</v>
      </c>
      <c r="G45">
        <v>10100494</v>
      </c>
      <c r="H45" s="3">
        <v>40483</v>
      </c>
      <c r="I45" t="s">
        <v>1621</v>
      </c>
      <c r="J45" t="s">
        <v>1430</v>
      </c>
      <c r="K45" t="s">
        <v>204</v>
      </c>
      <c r="L45">
        <v>18352821898</v>
      </c>
      <c r="N45" t="s">
        <v>1622</v>
      </c>
      <c r="O45" s="2">
        <v>45579</v>
      </c>
      <c r="P45" s="2">
        <v>46309</v>
      </c>
      <c r="Q45" t="s">
        <v>65</v>
      </c>
      <c r="R45" t="s">
        <v>86</v>
      </c>
      <c r="S45" t="s">
        <v>155</v>
      </c>
      <c r="T45" t="s">
        <v>1623</v>
      </c>
      <c r="U45" t="s">
        <v>124</v>
      </c>
      <c r="V45" t="s">
        <v>57</v>
      </c>
      <c r="Z45" t="s">
        <v>113</v>
      </c>
      <c r="AA45" t="s">
        <v>290</v>
      </c>
      <c r="AB45" t="s">
        <v>65</v>
      </c>
      <c r="AC45">
        <v>600</v>
      </c>
      <c r="AD45" t="s">
        <v>69</v>
      </c>
      <c r="AE45">
        <v>10</v>
      </c>
      <c r="AH45">
        <v>19.05</v>
      </c>
      <c r="AK45">
        <v>7</v>
      </c>
      <c r="AN45">
        <v>15.5</v>
      </c>
      <c r="AP45" t="s">
        <v>163</v>
      </c>
      <c r="AQ45" t="s">
        <v>94</v>
      </c>
      <c r="AS45" t="s">
        <v>1619</v>
      </c>
      <c r="AT45">
        <v>7</v>
      </c>
      <c r="AU45">
        <v>8</v>
      </c>
      <c r="AV45">
        <v>15.5</v>
      </c>
      <c r="AW45">
        <v>10</v>
      </c>
      <c r="AZ45">
        <v>222000</v>
      </c>
      <c r="BB45" t="s">
        <v>248</v>
      </c>
      <c r="BD45" t="s">
        <v>385</v>
      </c>
      <c r="BE45" t="s">
        <v>386</v>
      </c>
    </row>
    <row r="46" spans="1:57" x14ac:dyDescent="0.3">
      <c r="A46" s="7">
        <v>61</v>
      </c>
      <c r="B46" t="s">
        <v>1425</v>
      </c>
      <c r="C46" t="s">
        <v>1426</v>
      </c>
      <c r="D46" t="s">
        <v>1624</v>
      </c>
      <c r="E46" t="s">
        <v>62</v>
      </c>
      <c r="F46" t="s">
        <v>442</v>
      </c>
      <c r="G46" t="s">
        <v>1625</v>
      </c>
      <c r="H46" s="3">
        <v>41082</v>
      </c>
      <c r="I46" t="s">
        <v>1626</v>
      </c>
      <c r="J46" t="s">
        <v>1430</v>
      </c>
      <c r="K46" t="s">
        <v>204</v>
      </c>
      <c r="L46">
        <v>18352821898</v>
      </c>
      <c r="N46" t="s">
        <v>1627</v>
      </c>
      <c r="O46" s="2">
        <v>45580</v>
      </c>
      <c r="P46" s="2">
        <v>46310</v>
      </c>
      <c r="Q46" t="s">
        <v>65</v>
      </c>
      <c r="R46" t="s">
        <v>86</v>
      </c>
      <c r="S46" t="s">
        <v>155</v>
      </c>
      <c r="T46" t="s">
        <v>1628</v>
      </c>
      <c r="U46" t="s">
        <v>67</v>
      </c>
      <c r="V46" t="s">
        <v>57</v>
      </c>
      <c r="Z46" t="s">
        <v>113</v>
      </c>
      <c r="AA46" t="s">
        <v>159</v>
      </c>
      <c r="AB46" t="s">
        <v>65</v>
      </c>
      <c r="AC46">
        <v>1050</v>
      </c>
      <c r="AD46" t="s">
        <v>69</v>
      </c>
      <c r="AE46">
        <v>25</v>
      </c>
      <c r="AF46">
        <v>875</v>
      </c>
      <c r="AK46">
        <v>60</v>
      </c>
      <c r="AN46">
        <v>27</v>
      </c>
      <c r="AP46" t="s">
        <v>163</v>
      </c>
      <c r="AS46" t="s">
        <v>323</v>
      </c>
      <c r="AT46" t="s">
        <v>1629</v>
      </c>
      <c r="AU46" t="s">
        <v>1630</v>
      </c>
      <c r="AV46">
        <v>30</v>
      </c>
      <c r="AW46">
        <v>25</v>
      </c>
      <c r="AZ46">
        <v>222000</v>
      </c>
    </row>
    <row r="47" spans="1:57" x14ac:dyDescent="0.3">
      <c r="A47" s="7">
        <v>62</v>
      </c>
      <c r="B47" t="s">
        <v>1425</v>
      </c>
      <c r="C47" t="s">
        <v>1426</v>
      </c>
      <c r="D47" t="s">
        <v>1631</v>
      </c>
      <c r="E47" t="s">
        <v>62</v>
      </c>
      <c r="F47" t="s">
        <v>63</v>
      </c>
      <c r="G47" t="s">
        <v>1632</v>
      </c>
      <c r="H47" s="3">
        <v>41575</v>
      </c>
      <c r="I47" t="s">
        <v>1633</v>
      </c>
      <c r="J47" t="s">
        <v>1430</v>
      </c>
      <c r="K47" t="s">
        <v>204</v>
      </c>
      <c r="L47">
        <v>18761348365</v>
      </c>
      <c r="N47">
        <v>12</v>
      </c>
      <c r="O47" s="2">
        <v>45363</v>
      </c>
      <c r="P47" s="2">
        <v>46092</v>
      </c>
      <c r="Q47" t="s">
        <v>65</v>
      </c>
      <c r="R47" t="s">
        <v>86</v>
      </c>
      <c r="S47" t="s">
        <v>87</v>
      </c>
      <c r="T47" t="s">
        <v>1634</v>
      </c>
      <c r="U47" t="s">
        <v>67</v>
      </c>
      <c r="V47" t="s">
        <v>57</v>
      </c>
      <c r="X47" t="s">
        <v>1635</v>
      </c>
      <c r="Z47" t="s">
        <v>113</v>
      </c>
      <c r="AA47" t="s">
        <v>159</v>
      </c>
      <c r="AB47" t="s">
        <v>65</v>
      </c>
      <c r="AC47">
        <v>1190</v>
      </c>
      <c r="AD47" t="s">
        <v>69</v>
      </c>
      <c r="AE47">
        <v>40</v>
      </c>
      <c r="AF47">
        <v>1720</v>
      </c>
      <c r="AK47">
        <v>70</v>
      </c>
      <c r="AP47" t="s">
        <v>93</v>
      </c>
      <c r="AS47" t="s">
        <v>70</v>
      </c>
      <c r="AT47" t="s">
        <v>1139</v>
      </c>
      <c r="AU47">
        <f>-19-30/-19-20</f>
        <v>-37.421052631578945</v>
      </c>
      <c r="AV47">
        <v>27</v>
      </c>
      <c r="AW47">
        <v>40</v>
      </c>
      <c r="AZ47">
        <v>222000</v>
      </c>
    </row>
    <row r="48" spans="1:57" x14ac:dyDescent="0.3">
      <c r="A48" s="7">
        <v>63</v>
      </c>
      <c r="B48" t="s">
        <v>1425</v>
      </c>
      <c r="C48" t="s">
        <v>1426</v>
      </c>
      <c r="D48" t="s">
        <v>1636</v>
      </c>
      <c r="E48" t="s">
        <v>62</v>
      </c>
      <c r="F48" t="s">
        <v>63</v>
      </c>
      <c r="G48" t="s">
        <v>1637</v>
      </c>
      <c r="H48" s="3">
        <v>41575</v>
      </c>
      <c r="I48" t="s">
        <v>1633</v>
      </c>
      <c r="J48" t="s">
        <v>1430</v>
      </c>
      <c r="K48" t="s">
        <v>204</v>
      </c>
      <c r="L48">
        <v>18761348365</v>
      </c>
      <c r="N48">
        <v>10</v>
      </c>
      <c r="O48" s="2">
        <v>45363</v>
      </c>
      <c r="P48" s="2">
        <v>46092</v>
      </c>
      <c r="Q48" t="s">
        <v>65</v>
      </c>
      <c r="R48" t="s">
        <v>86</v>
      </c>
      <c r="S48" t="s">
        <v>87</v>
      </c>
      <c r="T48" t="s">
        <v>1638</v>
      </c>
      <c r="U48" t="s">
        <v>67</v>
      </c>
      <c r="V48" t="s">
        <v>57</v>
      </c>
      <c r="X48" t="s">
        <v>1635</v>
      </c>
      <c r="Z48" t="s">
        <v>113</v>
      </c>
      <c r="AA48" t="s">
        <v>159</v>
      </c>
      <c r="AB48" t="s">
        <v>65</v>
      </c>
      <c r="AC48">
        <v>1190</v>
      </c>
      <c r="AD48" t="s">
        <v>69</v>
      </c>
      <c r="AE48">
        <v>40</v>
      </c>
      <c r="AF48">
        <v>1720</v>
      </c>
      <c r="AK48">
        <v>70</v>
      </c>
      <c r="AP48" t="s">
        <v>93</v>
      </c>
      <c r="AS48" t="s">
        <v>70</v>
      </c>
      <c r="AT48" t="s">
        <v>1190</v>
      </c>
      <c r="AU48">
        <f>-19-30/-19-20</f>
        <v>-37.421052631578945</v>
      </c>
      <c r="AV48">
        <v>27</v>
      </c>
      <c r="AW48">
        <v>40</v>
      </c>
      <c r="AZ48">
        <v>222000</v>
      </c>
    </row>
    <row r="49" spans="1:57" x14ac:dyDescent="0.3">
      <c r="A49" s="7">
        <v>64</v>
      </c>
      <c r="B49" t="s">
        <v>1425</v>
      </c>
      <c r="C49" t="s">
        <v>1426</v>
      </c>
      <c r="D49" t="s">
        <v>1639</v>
      </c>
      <c r="E49" t="s">
        <v>62</v>
      </c>
      <c r="F49" t="s">
        <v>442</v>
      </c>
      <c r="G49" t="s">
        <v>1640</v>
      </c>
      <c r="I49" t="s">
        <v>1641</v>
      </c>
      <c r="J49" t="s">
        <v>1430</v>
      </c>
      <c r="K49" t="s">
        <v>204</v>
      </c>
      <c r="L49">
        <v>18352821898</v>
      </c>
      <c r="N49" t="s">
        <v>1642</v>
      </c>
      <c r="O49" s="2">
        <v>45580</v>
      </c>
      <c r="P49" s="2">
        <v>46310</v>
      </c>
      <c r="Q49" t="s">
        <v>65</v>
      </c>
      <c r="R49" t="s">
        <v>86</v>
      </c>
      <c r="S49" t="s">
        <v>155</v>
      </c>
      <c r="T49" t="s">
        <v>1643</v>
      </c>
      <c r="U49" t="s">
        <v>67</v>
      </c>
      <c r="V49" t="s">
        <v>57</v>
      </c>
      <c r="Z49" t="s">
        <v>113</v>
      </c>
      <c r="AA49" t="s">
        <v>159</v>
      </c>
      <c r="AB49" t="s">
        <v>65</v>
      </c>
      <c r="AC49">
        <v>1050</v>
      </c>
      <c r="AD49" t="s">
        <v>69</v>
      </c>
      <c r="AE49">
        <v>25</v>
      </c>
      <c r="AF49">
        <v>875</v>
      </c>
      <c r="AK49">
        <v>60</v>
      </c>
      <c r="AN49">
        <v>27</v>
      </c>
      <c r="AP49" t="s">
        <v>163</v>
      </c>
      <c r="AS49" t="s">
        <v>323</v>
      </c>
      <c r="AT49" t="s">
        <v>1629</v>
      </c>
      <c r="AU49" t="s">
        <v>1630</v>
      </c>
      <c r="AV49">
        <v>30</v>
      </c>
      <c r="AW49">
        <v>25</v>
      </c>
      <c r="AZ49">
        <v>222000</v>
      </c>
    </row>
    <row r="50" spans="1:57" x14ac:dyDescent="0.3">
      <c r="A50" s="7">
        <v>65</v>
      </c>
      <c r="B50" t="s">
        <v>1425</v>
      </c>
      <c r="C50" t="s">
        <v>1426</v>
      </c>
      <c r="D50" t="s">
        <v>1644</v>
      </c>
      <c r="E50" t="s">
        <v>62</v>
      </c>
      <c r="F50" t="s">
        <v>442</v>
      </c>
      <c r="G50" t="s">
        <v>1645</v>
      </c>
      <c r="I50" t="s">
        <v>1641</v>
      </c>
      <c r="J50" t="s">
        <v>1430</v>
      </c>
      <c r="K50" t="s">
        <v>204</v>
      </c>
      <c r="L50">
        <v>13961385712</v>
      </c>
      <c r="N50" t="s">
        <v>1646</v>
      </c>
      <c r="O50" s="2">
        <v>45580</v>
      </c>
      <c r="P50" s="2">
        <v>46310</v>
      </c>
      <c r="Q50" t="s">
        <v>65</v>
      </c>
      <c r="R50" t="s">
        <v>86</v>
      </c>
      <c r="S50" t="s">
        <v>155</v>
      </c>
      <c r="T50" t="s">
        <v>1647</v>
      </c>
      <c r="U50" t="s">
        <v>67</v>
      </c>
      <c r="V50" t="s">
        <v>57</v>
      </c>
      <c r="Z50" t="s">
        <v>113</v>
      </c>
      <c r="AA50" t="s">
        <v>159</v>
      </c>
      <c r="AB50" t="s">
        <v>65</v>
      </c>
      <c r="AC50">
        <v>1050</v>
      </c>
      <c r="AD50" t="s">
        <v>69</v>
      </c>
      <c r="AE50">
        <v>25</v>
      </c>
      <c r="AF50">
        <v>875</v>
      </c>
      <c r="AK50">
        <v>60</v>
      </c>
      <c r="AN50">
        <v>27</v>
      </c>
      <c r="AP50" t="s">
        <v>163</v>
      </c>
      <c r="AS50" t="s">
        <v>323</v>
      </c>
      <c r="AT50" t="s">
        <v>1629</v>
      </c>
      <c r="AU50" t="s">
        <v>1630</v>
      </c>
      <c r="AV50">
        <v>30</v>
      </c>
      <c r="AW50">
        <v>25</v>
      </c>
      <c r="AZ50">
        <v>222000</v>
      </c>
    </row>
    <row r="51" spans="1:57" x14ac:dyDescent="0.3">
      <c r="A51" s="7">
        <v>66</v>
      </c>
      <c r="B51" t="s">
        <v>1425</v>
      </c>
      <c r="C51" t="s">
        <v>1426</v>
      </c>
      <c r="D51" t="s">
        <v>1648</v>
      </c>
      <c r="E51" t="s">
        <v>62</v>
      </c>
      <c r="F51" t="s">
        <v>439</v>
      </c>
      <c r="G51">
        <v>2</v>
      </c>
      <c r="I51" t="s">
        <v>1649</v>
      </c>
      <c r="J51" t="s">
        <v>1430</v>
      </c>
      <c r="K51" t="s">
        <v>204</v>
      </c>
      <c r="L51">
        <v>18352821898</v>
      </c>
      <c r="N51" t="s">
        <v>1650</v>
      </c>
      <c r="O51" s="2">
        <v>45730</v>
      </c>
      <c r="P51" s="2">
        <v>46460</v>
      </c>
      <c r="Q51" t="s">
        <v>65</v>
      </c>
      <c r="R51" t="s">
        <v>86</v>
      </c>
      <c r="S51" t="s">
        <v>155</v>
      </c>
      <c r="T51" t="s">
        <v>1651</v>
      </c>
      <c r="U51" t="s">
        <v>67</v>
      </c>
      <c r="V51" t="s">
        <v>57</v>
      </c>
      <c r="X51" t="s">
        <v>1540</v>
      </c>
      <c r="Z51" t="s">
        <v>113</v>
      </c>
      <c r="AA51" t="s">
        <v>159</v>
      </c>
      <c r="AB51" t="s">
        <v>65</v>
      </c>
      <c r="AC51">
        <v>930</v>
      </c>
      <c r="AD51" t="s">
        <v>69</v>
      </c>
      <c r="AE51">
        <v>25</v>
      </c>
      <c r="AF51" t="s">
        <v>1652</v>
      </c>
      <c r="AK51">
        <v>1</v>
      </c>
      <c r="AP51" t="s">
        <v>93</v>
      </c>
      <c r="AS51" t="s">
        <v>1653</v>
      </c>
      <c r="AT51" t="s">
        <v>1654</v>
      </c>
      <c r="AU51" t="s">
        <v>1655</v>
      </c>
      <c r="AV51">
        <v>28</v>
      </c>
      <c r="AW51" t="s">
        <v>1656</v>
      </c>
      <c r="AZ51">
        <v>222000</v>
      </c>
    </row>
    <row r="52" spans="1:57" x14ac:dyDescent="0.3">
      <c r="A52" s="7">
        <v>67</v>
      </c>
      <c r="B52" t="s">
        <v>1425</v>
      </c>
      <c r="C52" t="s">
        <v>1426</v>
      </c>
      <c r="D52" t="s">
        <v>1657</v>
      </c>
      <c r="E52" t="s">
        <v>62</v>
      </c>
      <c r="F52" t="s">
        <v>63</v>
      </c>
      <c r="G52" t="s">
        <v>1658</v>
      </c>
      <c r="H52" s="3">
        <v>41575</v>
      </c>
      <c r="I52" t="s">
        <v>1633</v>
      </c>
      <c r="J52" t="s">
        <v>1430</v>
      </c>
      <c r="K52" t="s">
        <v>204</v>
      </c>
      <c r="L52">
        <v>18761348365</v>
      </c>
      <c r="N52">
        <v>11</v>
      </c>
      <c r="O52" s="2">
        <v>45363</v>
      </c>
      <c r="P52" s="2">
        <v>46092</v>
      </c>
      <c r="Q52" t="s">
        <v>65</v>
      </c>
      <c r="R52" t="s">
        <v>86</v>
      </c>
      <c r="S52" t="s">
        <v>87</v>
      </c>
      <c r="T52" t="s">
        <v>1659</v>
      </c>
      <c r="U52" t="s">
        <v>67</v>
      </c>
      <c r="V52" t="s">
        <v>57</v>
      </c>
      <c r="X52" t="s">
        <v>1635</v>
      </c>
      <c r="Z52" t="s">
        <v>113</v>
      </c>
      <c r="AA52" t="s">
        <v>159</v>
      </c>
      <c r="AB52" t="s">
        <v>65</v>
      </c>
      <c r="AC52">
        <v>1190</v>
      </c>
      <c r="AD52" t="s">
        <v>69</v>
      </c>
      <c r="AE52">
        <v>40</v>
      </c>
      <c r="AF52">
        <v>1720</v>
      </c>
      <c r="AK52">
        <v>70</v>
      </c>
      <c r="AP52" t="s">
        <v>93</v>
      </c>
      <c r="AS52" t="s">
        <v>70</v>
      </c>
      <c r="AT52" t="s">
        <v>1139</v>
      </c>
      <c r="AU52">
        <f>-19-30/-19-20</f>
        <v>-37.421052631578945</v>
      </c>
      <c r="AV52">
        <v>27</v>
      </c>
      <c r="AW52">
        <v>40</v>
      </c>
      <c r="AZ52">
        <v>222000</v>
      </c>
    </row>
    <row r="53" spans="1:57" x14ac:dyDescent="0.3">
      <c r="A53" s="7">
        <v>68</v>
      </c>
      <c r="B53" t="s">
        <v>1425</v>
      </c>
      <c r="C53" t="s">
        <v>1426</v>
      </c>
      <c r="D53" t="s">
        <v>1660</v>
      </c>
      <c r="E53" t="s">
        <v>62</v>
      </c>
      <c r="F53" t="s">
        <v>63</v>
      </c>
      <c r="G53" t="s">
        <v>1661</v>
      </c>
      <c r="H53" s="3">
        <v>41575</v>
      </c>
      <c r="I53" t="s">
        <v>1633</v>
      </c>
      <c r="J53" t="s">
        <v>1430</v>
      </c>
      <c r="K53" t="s">
        <v>204</v>
      </c>
      <c r="L53">
        <v>18761348365</v>
      </c>
      <c r="N53">
        <v>9</v>
      </c>
      <c r="O53" s="2">
        <v>45363</v>
      </c>
      <c r="P53" s="2">
        <v>46092</v>
      </c>
      <c r="Q53" t="s">
        <v>65</v>
      </c>
      <c r="R53" t="s">
        <v>86</v>
      </c>
      <c r="S53" t="s">
        <v>87</v>
      </c>
      <c r="T53" t="s">
        <v>1662</v>
      </c>
      <c r="U53" t="s">
        <v>67</v>
      </c>
      <c r="V53" t="s">
        <v>57</v>
      </c>
      <c r="X53" t="s">
        <v>1635</v>
      </c>
      <c r="Z53" t="s">
        <v>113</v>
      </c>
      <c r="AA53" t="s">
        <v>159</v>
      </c>
      <c r="AB53" t="s">
        <v>65</v>
      </c>
      <c r="AC53">
        <v>1190</v>
      </c>
      <c r="AD53" t="s">
        <v>69</v>
      </c>
      <c r="AE53">
        <v>40</v>
      </c>
      <c r="AF53">
        <v>1720</v>
      </c>
      <c r="AK53">
        <v>70</v>
      </c>
      <c r="AP53" t="s">
        <v>93</v>
      </c>
      <c r="AS53" t="s">
        <v>70</v>
      </c>
      <c r="AT53" t="s">
        <v>1139</v>
      </c>
      <c r="AU53">
        <f>-19-30/-19-20</f>
        <v>-37.421052631578945</v>
      </c>
      <c r="AV53">
        <v>27</v>
      </c>
      <c r="AW53">
        <v>40</v>
      </c>
      <c r="AZ53">
        <v>222000</v>
      </c>
    </row>
    <row r="54" spans="1:57" x14ac:dyDescent="0.3">
      <c r="A54" s="7">
        <v>69</v>
      </c>
      <c r="B54" t="s">
        <v>1425</v>
      </c>
      <c r="C54" t="s">
        <v>1426</v>
      </c>
      <c r="D54" t="s">
        <v>1663</v>
      </c>
      <c r="E54" t="s">
        <v>214</v>
      </c>
      <c r="F54" t="s">
        <v>341</v>
      </c>
      <c r="G54">
        <v>80230</v>
      </c>
      <c r="I54" t="s">
        <v>1600</v>
      </c>
      <c r="J54" t="s">
        <v>1430</v>
      </c>
      <c r="K54" t="s">
        <v>1601</v>
      </c>
      <c r="L54">
        <v>18061393719</v>
      </c>
      <c r="N54" t="s">
        <v>1664</v>
      </c>
      <c r="O54" s="2">
        <v>45758</v>
      </c>
      <c r="P54" s="2">
        <v>46123</v>
      </c>
      <c r="Q54" t="s">
        <v>65</v>
      </c>
      <c r="R54" t="s">
        <v>86</v>
      </c>
      <c r="S54" t="s">
        <v>155</v>
      </c>
      <c r="T54" t="s">
        <v>1665</v>
      </c>
      <c r="U54" t="s">
        <v>214</v>
      </c>
      <c r="V54" t="s">
        <v>57</v>
      </c>
      <c r="X54" t="s">
        <v>1580</v>
      </c>
      <c r="Z54" t="s">
        <v>113</v>
      </c>
      <c r="AA54" t="s">
        <v>159</v>
      </c>
      <c r="AB54" t="s">
        <v>65</v>
      </c>
      <c r="AC54">
        <v>515</v>
      </c>
      <c r="AD54" t="s">
        <v>69</v>
      </c>
      <c r="AE54">
        <v>25</v>
      </c>
      <c r="AF54">
        <v>102</v>
      </c>
      <c r="AK54">
        <v>105</v>
      </c>
      <c r="AP54" t="s">
        <v>93</v>
      </c>
      <c r="AS54" t="s">
        <v>1581</v>
      </c>
      <c r="AT54">
        <v>105</v>
      </c>
      <c r="AU54">
        <v>18</v>
      </c>
      <c r="AV54">
        <v>20</v>
      </c>
      <c r="AZ54">
        <v>222000</v>
      </c>
      <c r="BA54" t="s">
        <v>166</v>
      </c>
    </row>
    <row r="55" spans="1:57" x14ac:dyDescent="0.3">
      <c r="A55" s="7">
        <v>70</v>
      </c>
      <c r="B55" t="s">
        <v>1425</v>
      </c>
      <c r="C55" t="s">
        <v>1426</v>
      </c>
      <c r="D55" t="s">
        <v>1675</v>
      </c>
      <c r="E55" t="s">
        <v>62</v>
      </c>
      <c r="F55" t="s">
        <v>439</v>
      </c>
      <c r="G55" t="s">
        <v>1676</v>
      </c>
      <c r="I55" t="s">
        <v>1649</v>
      </c>
      <c r="J55" t="s">
        <v>1430</v>
      </c>
      <c r="K55" t="s">
        <v>204</v>
      </c>
      <c r="L55">
        <v>18352821898</v>
      </c>
      <c r="N55" t="s">
        <v>1677</v>
      </c>
      <c r="O55" s="2">
        <v>45580</v>
      </c>
      <c r="P55" s="2">
        <v>46310</v>
      </c>
      <c r="Q55" t="s">
        <v>65</v>
      </c>
      <c r="R55" t="s">
        <v>86</v>
      </c>
      <c r="S55" t="s">
        <v>155</v>
      </c>
      <c r="T55" t="s">
        <v>1678</v>
      </c>
      <c r="U55" t="s">
        <v>67</v>
      </c>
      <c r="V55" t="s">
        <v>57</v>
      </c>
      <c r="Z55" t="s">
        <v>113</v>
      </c>
      <c r="AA55" t="s">
        <v>159</v>
      </c>
      <c r="AB55" t="s">
        <v>65</v>
      </c>
      <c r="AC55">
        <v>930</v>
      </c>
      <c r="AD55" t="s">
        <v>69</v>
      </c>
      <c r="AE55">
        <v>25</v>
      </c>
      <c r="AF55">
        <v>360</v>
      </c>
      <c r="AK55" t="s">
        <v>364</v>
      </c>
      <c r="AN55">
        <v>15.5</v>
      </c>
      <c r="AP55" t="s">
        <v>163</v>
      </c>
      <c r="AS55" t="s">
        <v>164</v>
      </c>
      <c r="AT55" t="s">
        <v>1679</v>
      </c>
      <c r="AU55" t="s">
        <v>1680</v>
      </c>
      <c r="AV55">
        <v>28</v>
      </c>
      <c r="AW55" t="s">
        <v>1681</v>
      </c>
      <c r="AZ55">
        <v>222000</v>
      </c>
    </row>
    <row r="56" spans="1:57" x14ac:dyDescent="0.3">
      <c r="A56" s="7">
        <v>71</v>
      </c>
      <c r="B56" t="s">
        <v>1425</v>
      </c>
      <c r="C56" t="s">
        <v>1426</v>
      </c>
      <c r="D56" t="s">
        <v>1682</v>
      </c>
      <c r="E56" t="s">
        <v>235</v>
      </c>
      <c r="F56" t="s">
        <v>1683</v>
      </c>
      <c r="G56">
        <v>122021292</v>
      </c>
      <c r="H56" s="3">
        <v>41122</v>
      </c>
      <c r="I56" t="s">
        <v>1684</v>
      </c>
      <c r="J56" t="s">
        <v>1430</v>
      </c>
      <c r="K56" t="s">
        <v>204</v>
      </c>
      <c r="L56">
        <v>18761348365</v>
      </c>
      <c r="N56" t="s">
        <v>83</v>
      </c>
      <c r="O56" s="2">
        <v>45874</v>
      </c>
      <c r="P56" s="2">
        <v>46604</v>
      </c>
      <c r="Q56" t="s">
        <v>65</v>
      </c>
      <c r="R56" t="s">
        <v>86</v>
      </c>
      <c r="S56" t="s">
        <v>155</v>
      </c>
      <c r="T56" t="s">
        <v>1685</v>
      </c>
      <c r="U56" t="s">
        <v>235</v>
      </c>
      <c r="V56" t="s">
        <v>57</v>
      </c>
      <c r="Z56" t="s">
        <v>113</v>
      </c>
      <c r="AA56" t="s">
        <v>159</v>
      </c>
      <c r="AB56" t="s">
        <v>65</v>
      </c>
      <c r="AC56">
        <v>600</v>
      </c>
      <c r="AD56" t="s">
        <v>69</v>
      </c>
      <c r="AE56">
        <v>10</v>
      </c>
      <c r="AH56">
        <v>13.5</v>
      </c>
      <c r="AK56">
        <v>13.3</v>
      </c>
      <c r="AP56" t="s">
        <v>93</v>
      </c>
      <c r="AQ56" t="s">
        <v>94</v>
      </c>
      <c r="AS56" t="s">
        <v>61</v>
      </c>
      <c r="AT56">
        <v>13.3</v>
      </c>
      <c r="AU56">
        <v>6</v>
      </c>
      <c r="AV56">
        <v>15.5</v>
      </c>
      <c r="AW56">
        <v>10</v>
      </c>
      <c r="AZ56">
        <v>222000</v>
      </c>
      <c r="BB56" t="s">
        <v>248</v>
      </c>
      <c r="BD56" t="s">
        <v>385</v>
      </c>
      <c r="BE56" t="s">
        <v>250</v>
      </c>
    </row>
    <row r="57" spans="1:57" x14ac:dyDescent="0.3">
      <c r="A57" s="7">
        <v>72</v>
      </c>
      <c r="B57" t="s">
        <v>1425</v>
      </c>
      <c r="C57" t="s">
        <v>1426</v>
      </c>
      <c r="D57" t="s">
        <v>1686</v>
      </c>
      <c r="E57" t="s">
        <v>62</v>
      </c>
      <c r="F57" t="s">
        <v>439</v>
      </c>
      <c r="G57" t="s">
        <v>1687</v>
      </c>
      <c r="H57" s="3">
        <v>38777</v>
      </c>
      <c r="I57" t="s">
        <v>1688</v>
      </c>
      <c r="J57" t="s">
        <v>1430</v>
      </c>
      <c r="K57" t="s">
        <v>204</v>
      </c>
      <c r="L57">
        <v>18352821898</v>
      </c>
      <c r="M57">
        <v>15261372559</v>
      </c>
      <c r="N57" t="s">
        <v>1689</v>
      </c>
      <c r="O57" s="2">
        <v>45425</v>
      </c>
      <c r="P57" s="2">
        <v>46154</v>
      </c>
      <c r="Q57" t="s">
        <v>65</v>
      </c>
      <c r="R57" t="s">
        <v>86</v>
      </c>
      <c r="S57" t="s">
        <v>87</v>
      </c>
      <c r="T57" t="s">
        <v>1690</v>
      </c>
      <c r="U57" t="s">
        <v>1672</v>
      </c>
      <c r="V57" t="s">
        <v>57</v>
      </c>
      <c r="X57" t="s">
        <v>1540</v>
      </c>
      <c r="Z57" t="s">
        <v>113</v>
      </c>
      <c r="AA57" t="s">
        <v>1691</v>
      </c>
      <c r="AB57" t="s">
        <v>1692</v>
      </c>
      <c r="AC57">
        <v>750</v>
      </c>
      <c r="AD57" t="s">
        <v>69</v>
      </c>
      <c r="AE57">
        <v>16</v>
      </c>
      <c r="AF57">
        <v>355</v>
      </c>
      <c r="AP57" t="s">
        <v>93</v>
      </c>
      <c r="AR57" t="s">
        <v>1693</v>
      </c>
      <c r="AS57" t="s">
        <v>1694</v>
      </c>
      <c r="AT57">
        <v>50</v>
      </c>
      <c r="AU57">
        <f>-15-20</f>
        <v>-35</v>
      </c>
      <c r="AV57">
        <v>28</v>
      </c>
      <c r="AW57">
        <v>16</v>
      </c>
      <c r="AZ57">
        <v>222000</v>
      </c>
    </row>
    <row r="58" spans="1:57" x14ac:dyDescent="0.3">
      <c r="A58" s="7">
        <v>73</v>
      </c>
      <c r="B58" t="s">
        <v>1425</v>
      </c>
      <c r="C58" t="s">
        <v>1426</v>
      </c>
      <c r="D58" t="s">
        <v>1695</v>
      </c>
      <c r="E58" t="s">
        <v>124</v>
      </c>
      <c r="F58" t="s">
        <v>1696</v>
      </c>
      <c r="G58">
        <v>120091</v>
      </c>
      <c r="H58" s="3">
        <v>41122</v>
      </c>
      <c r="I58" t="s">
        <v>1697</v>
      </c>
      <c r="J58" t="s">
        <v>1430</v>
      </c>
      <c r="K58" t="s">
        <v>204</v>
      </c>
      <c r="L58">
        <v>18352821898</v>
      </c>
      <c r="N58" t="s">
        <v>1698</v>
      </c>
      <c r="O58" s="2">
        <v>45579</v>
      </c>
      <c r="P58" s="2">
        <v>46309</v>
      </c>
      <c r="Q58" t="s">
        <v>65</v>
      </c>
      <c r="R58" t="s">
        <v>86</v>
      </c>
      <c r="S58" t="s">
        <v>155</v>
      </c>
      <c r="T58" t="s">
        <v>1699</v>
      </c>
      <c r="U58" t="s">
        <v>124</v>
      </c>
      <c r="V58" t="s">
        <v>57</v>
      </c>
      <c r="Z58" t="s">
        <v>113</v>
      </c>
      <c r="AA58" t="s">
        <v>290</v>
      </c>
      <c r="AB58" t="s">
        <v>65</v>
      </c>
      <c r="AC58">
        <v>600</v>
      </c>
      <c r="AD58" t="s">
        <v>69</v>
      </c>
      <c r="AE58">
        <v>10</v>
      </c>
      <c r="AH58">
        <v>19.04</v>
      </c>
      <c r="AK58">
        <v>7</v>
      </c>
      <c r="AN58">
        <v>15.5</v>
      </c>
      <c r="AP58" t="s">
        <v>163</v>
      </c>
      <c r="AQ58" t="s">
        <v>94</v>
      </c>
      <c r="AS58" t="s">
        <v>436</v>
      </c>
      <c r="AT58">
        <v>7</v>
      </c>
      <c r="AU58">
        <v>9</v>
      </c>
      <c r="AV58">
        <v>15.5</v>
      </c>
      <c r="AW58">
        <v>10</v>
      </c>
      <c r="AZ58">
        <v>222000</v>
      </c>
      <c r="BB58" t="s">
        <v>248</v>
      </c>
      <c r="BD58" t="s">
        <v>385</v>
      </c>
      <c r="BE58" t="s">
        <v>386</v>
      </c>
    </row>
    <row r="59" spans="1:57" x14ac:dyDescent="0.3">
      <c r="A59" s="7">
        <v>74</v>
      </c>
      <c r="B59" t="s">
        <v>1425</v>
      </c>
      <c r="C59" t="s">
        <v>1426</v>
      </c>
      <c r="D59" t="s">
        <v>1704</v>
      </c>
      <c r="E59" t="s">
        <v>62</v>
      </c>
      <c r="F59" t="s">
        <v>1705</v>
      </c>
      <c r="G59" t="s">
        <v>1706</v>
      </c>
      <c r="I59" t="s">
        <v>1707</v>
      </c>
      <c r="J59" t="s">
        <v>1430</v>
      </c>
      <c r="K59" t="s">
        <v>204</v>
      </c>
      <c r="L59">
        <v>15022369739</v>
      </c>
      <c r="N59" t="s">
        <v>1708</v>
      </c>
      <c r="O59" s="2">
        <v>45705</v>
      </c>
      <c r="P59" s="2">
        <v>46435</v>
      </c>
      <c r="Q59" t="s">
        <v>65</v>
      </c>
      <c r="R59" t="s">
        <v>86</v>
      </c>
      <c r="S59" t="s">
        <v>155</v>
      </c>
      <c r="T59" t="s">
        <v>1709</v>
      </c>
      <c r="U59" t="s">
        <v>67</v>
      </c>
      <c r="V59" t="s">
        <v>57</v>
      </c>
      <c r="X59" t="s">
        <v>209</v>
      </c>
      <c r="Z59" t="s">
        <v>113</v>
      </c>
      <c r="AA59" t="s">
        <v>159</v>
      </c>
      <c r="AB59" t="s">
        <v>65</v>
      </c>
      <c r="AC59">
        <v>930</v>
      </c>
      <c r="AD59" t="s">
        <v>69</v>
      </c>
      <c r="AE59">
        <v>25</v>
      </c>
      <c r="AF59" t="s">
        <v>1710</v>
      </c>
      <c r="AK59">
        <v>55</v>
      </c>
      <c r="AL59">
        <v>27.5</v>
      </c>
      <c r="AN59">
        <v>28</v>
      </c>
      <c r="AP59" t="s">
        <v>93</v>
      </c>
      <c r="AS59" t="s">
        <v>274</v>
      </c>
      <c r="AT59" t="s">
        <v>1711</v>
      </c>
      <c r="AU59" t="s">
        <v>1630</v>
      </c>
      <c r="AV59">
        <v>28</v>
      </c>
      <c r="AW59">
        <v>25</v>
      </c>
      <c r="AZ59">
        <v>222000</v>
      </c>
      <c r="BA59" t="s">
        <v>166</v>
      </c>
    </row>
    <row r="60" spans="1:57" x14ac:dyDescent="0.3">
      <c r="A60" s="7">
        <v>75</v>
      </c>
      <c r="B60" t="s">
        <v>1425</v>
      </c>
      <c r="C60" t="s">
        <v>1426</v>
      </c>
      <c r="D60" t="s">
        <v>1712</v>
      </c>
      <c r="E60" t="s">
        <v>62</v>
      </c>
      <c r="F60" t="s">
        <v>439</v>
      </c>
      <c r="G60" s="6">
        <v>38718</v>
      </c>
      <c r="H60">
        <v>2006.04</v>
      </c>
      <c r="I60" t="s">
        <v>1713</v>
      </c>
      <c r="J60" t="s">
        <v>1430</v>
      </c>
      <c r="K60" t="s">
        <v>1540</v>
      </c>
      <c r="L60">
        <v>13961385712</v>
      </c>
      <c r="N60" t="s">
        <v>1714</v>
      </c>
      <c r="O60" s="2">
        <v>45755</v>
      </c>
      <c r="P60" s="2">
        <v>46485</v>
      </c>
      <c r="Q60" t="s">
        <v>65</v>
      </c>
      <c r="R60" t="s">
        <v>86</v>
      </c>
      <c r="S60" t="s">
        <v>155</v>
      </c>
      <c r="T60" t="s">
        <v>1715</v>
      </c>
      <c r="U60" t="s">
        <v>67</v>
      </c>
      <c r="V60" t="s">
        <v>57</v>
      </c>
      <c r="X60" t="s">
        <v>1540</v>
      </c>
      <c r="Z60" t="s">
        <v>113</v>
      </c>
      <c r="AA60" t="s">
        <v>1716</v>
      </c>
      <c r="AB60" t="s">
        <v>65</v>
      </c>
      <c r="AC60">
        <v>1050</v>
      </c>
      <c r="AD60" t="s">
        <v>69</v>
      </c>
      <c r="AE60">
        <v>25</v>
      </c>
      <c r="AF60" t="s">
        <v>1710</v>
      </c>
      <c r="AK60">
        <v>30</v>
      </c>
      <c r="AL60">
        <v>60</v>
      </c>
      <c r="AN60">
        <v>17</v>
      </c>
      <c r="AP60" t="s">
        <v>93</v>
      </c>
      <c r="AS60" t="s">
        <v>1717</v>
      </c>
      <c r="AT60" t="s">
        <v>1679</v>
      </c>
      <c r="AU60" t="s">
        <v>1718</v>
      </c>
      <c r="AV60">
        <v>28</v>
      </c>
      <c r="AW60" t="s">
        <v>1681</v>
      </c>
      <c r="AZ60">
        <v>222000</v>
      </c>
    </row>
    <row r="61" spans="1:57" x14ac:dyDescent="0.3">
      <c r="A61" s="7">
        <v>76</v>
      </c>
      <c r="B61" t="s">
        <v>1425</v>
      </c>
      <c r="C61" t="s">
        <v>1426</v>
      </c>
      <c r="D61" t="s">
        <v>1719</v>
      </c>
      <c r="E61" t="s">
        <v>124</v>
      </c>
      <c r="F61" t="s">
        <v>1720</v>
      </c>
      <c r="G61" t="s">
        <v>60</v>
      </c>
      <c r="I61" t="s">
        <v>1721</v>
      </c>
      <c r="J61" t="s">
        <v>1430</v>
      </c>
      <c r="K61" t="s">
        <v>204</v>
      </c>
      <c r="L61">
        <v>18761348365</v>
      </c>
      <c r="N61" t="s">
        <v>83</v>
      </c>
      <c r="O61" s="2">
        <v>45803</v>
      </c>
      <c r="P61" s="2">
        <v>46533</v>
      </c>
      <c r="Q61" t="s">
        <v>65</v>
      </c>
      <c r="R61" t="s">
        <v>86</v>
      </c>
      <c r="S61" t="s">
        <v>155</v>
      </c>
      <c r="T61" t="s">
        <v>1722</v>
      </c>
      <c r="U61" t="s">
        <v>774</v>
      </c>
      <c r="V61" t="s">
        <v>57</v>
      </c>
      <c r="Z61" t="s">
        <v>113</v>
      </c>
      <c r="AA61" t="s">
        <v>159</v>
      </c>
      <c r="AB61" t="s">
        <v>65</v>
      </c>
      <c r="AC61">
        <v>450</v>
      </c>
      <c r="AD61" t="s">
        <v>69</v>
      </c>
      <c r="AE61">
        <v>3</v>
      </c>
      <c r="AF61">
        <v>0</v>
      </c>
      <c r="AH61">
        <v>12.8</v>
      </c>
      <c r="AP61" t="s">
        <v>93</v>
      </c>
      <c r="AQ61" t="s">
        <v>94</v>
      </c>
      <c r="AS61" t="s">
        <v>1723</v>
      </c>
      <c r="AT61">
        <v>8</v>
      </c>
      <c r="AU61">
        <v>6</v>
      </c>
      <c r="AV61">
        <v>14</v>
      </c>
      <c r="AW61">
        <v>3</v>
      </c>
      <c r="AZ61">
        <v>222000</v>
      </c>
      <c r="BB61" t="s">
        <v>248</v>
      </c>
      <c r="BD61" t="s">
        <v>385</v>
      </c>
      <c r="BE61" t="s">
        <v>250</v>
      </c>
    </row>
    <row r="62" spans="1:57" x14ac:dyDescent="0.3">
      <c r="A62" s="7">
        <v>77</v>
      </c>
      <c r="B62" t="s">
        <v>1425</v>
      </c>
      <c r="C62" t="s">
        <v>1426</v>
      </c>
      <c r="D62" t="s">
        <v>1728</v>
      </c>
      <c r="E62" t="s">
        <v>62</v>
      </c>
      <c r="F62" t="s">
        <v>1729</v>
      </c>
      <c r="G62" t="s">
        <v>1730</v>
      </c>
      <c r="H62" s="3">
        <v>38930</v>
      </c>
      <c r="I62" t="s">
        <v>269</v>
      </c>
      <c r="J62" t="s">
        <v>1430</v>
      </c>
      <c r="K62" t="s">
        <v>204</v>
      </c>
      <c r="L62">
        <v>18352821898</v>
      </c>
      <c r="N62" t="s">
        <v>1731</v>
      </c>
      <c r="O62" s="2">
        <v>45755</v>
      </c>
      <c r="P62" s="2">
        <v>46485</v>
      </c>
      <c r="Q62" t="s">
        <v>65</v>
      </c>
      <c r="R62" t="s">
        <v>86</v>
      </c>
      <c r="S62" t="s">
        <v>155</v>
      </c>
      <c r="T62" t="s">
        <v>1732</v>
      </c>
      <c r="V62" t="s">
        <v>57</v>
      </c>
      <c r="X62" t="s">
        <v>1540</v>
      </c>
      <c r="Z62" t="s">
        <v>113</v>
      </c>
      <c r="AA62" t="s">
        <v>159</v>
      </c>
      <c r="AB62" t="s">
        <v>65</v>
      </c>
      <c r="AC62">
        <v>750</v>
      </c>
      <c r="AD62" t="s">
        <v>69</v>
      </c>
      <c r="AE62">
        <v>25</v>
      </c>
      <c r="AF62" t="s">
        <v>1733</v>
      </c>
      <c r="AP62" t="s">
        <v>93</v>
      </c>
      <c r="AS62" t="s">
        <v>1674</v>
      </c>
      <c r="AT62">
        <v>50</v>
      </c>
      <c r="AU62">
        <f>-15-20</f>
        <v>-35</v>
      </c>
      <c r="AV62">
        <v>30</v>
      </c>
      <c r="AW62">
        <v>25</v>
      </c>
      <c r="AZ62">
        <v>222000</v>
      </c>
    </row>
    <row r="63" spans="1:57" x14ac:dyDescent="0.3">
      <c r="A63" s="7">
        <v>78</v>
      </c>
      <c r="B63" t="s">
        <v>1425</v>
      </c>
      <c r="C63" t="s">
        <v>1426</v>
      </c>
      <c r="D63" t="s">
        <v>1734</v>
      </c>
      <c r="E63" t="s">
        <v>62</v>
      </c>
      <c r="F63" t="s">
        <v>1667</v>
      </c>
      <c r="G63" t="s">
        <v>1735</v>
      </c>
      <c r="H63" s="3">
        <v>39716</v>
      </c>
      <c r="I63" t="s">
        <v>269</v>
      </c>
      <c r="J63" t="s">
        <v>1430</v>
      </c>
      <c r="K63" t="s">
        <v>204</v>
      </c>
      <c r="L63">
        <v>18761348365</v>
      </c>
      <c r="N63" t="s">
        <v>1736</v>
      </c>
      <c r="O63" s="2">
        <v>45755</v>
      </c>
      <c r="P63" s="2">
        <v>46485</v>
      </c>
      <c r="Q63" t="s">
        <v>65</v>
      </c>
      <c r="R63" t="s">
        <v>86</v>
      </c>
      <c r="S63" t="s">
        <v>155</v>
      </c>
      <c r="T63" t="s">
        <v>1737</v>
      </c>
      <c r="U63" t="s">
        <v>1672</v>
      </c>
      <c r="V63" t="s">
        <v>57</v>
      </c>
      <c r="X63" t="s">
        <v>1540</v>
      </c>
      <c r="Z63" t="s">
        <v>113</v>
      </c>
      <c r="AA63" t="s">
        <v>159</v>
      </c>
      <c r="AB63" t="s">
        <v>65</v>
      </c>
      <c r="AC63">
        <v>950</v>
      </c>
      <c r="AD63" t="s">
        <v>69</v>
      </c>
      <c r="AE63">
        <v>40</v>
      </c>
      <c r="AF63">
        <v>355</v>
      </c>
      <c r="AP63" t="s">
        <v>93</v>
      </c>
      <c r="AS63" t="s">
        <v>1674</v>
      </c>
      <c r="AT63">
        <v>60</v>
      </c>
      <c r="AU63">
        <v>20</v>
      </c>
      <c r="AV63">
        <v>28</v>
      </c>
      <c r="AW63">
        <v>40</v>
      </c>
      <c r="AZ63">
        <v>222000</v>
      </c>
    </row>
    <row r="64" spans="1:57" x14ac:dyDescent="0.3">
      <c r="A64" s="7">
        <v>79</v>
      </c>
      <c r="B64" t="s">
        <v>1425</v>
      </c>
      <c r="C64" t="s">
        <v>1426</v>
      </c>
      <c r="D64" t="s">
        <v>1749</v>
      </c>
      <c r="E64" t="s">
        <v>214</v>
      </c>
      <c r="F64" t="s">
        <v>341</v>
      </c>
      <c r="G64">
        <v>80229</v>
      </c>
      <c r="H64">
        <v>200905</v>
      </c>
      <c r="I64" t="s">
        <v>1539</v>
      </c>
      <c r="J64" t="s">
        <v>1430</v>
      </c>
      <c r="K64" t="s">
        <v>1467</v>
      </c>
      <c r="L64">
        <v>18251400586</v>
      </c>
      <c r="N64" t="s">
        <v>1750</v>
      </c>
      <c r="O64" s="2">
        <v>45754</v>
      </c>
      <c r="P64" s="2">
        <v>46119</v>
      </c>
      <c r="Q64" t="s">
        <v>65</v>
      </c>
      <c r="R64" t="s">
        <v>86</v>
      </c>
      <c r="S64" t="s">
        <v>155</v>
      </c>
      <c r="T64" t="s">
        <v>1751</v>
      </c>
      <c r="U64" t="s">
        <v>214</v>
      </c>
      <c r="V64" t="s">
        <v>57</v>
      </c>
      <c r="X64" t="s">
        <v>1540</v>
      </c>
      <c r="Z64" t="s">
        <v>113</v>
      </c>
      <c r="AA64" t="s">
        <v>159</v>
      </c>
      <c r="AB64" t="s">
        <v>65</v>
      </c>
      <c r="AC64">
        <v>515</v>
      </c>
      <c r="AD64" t="s">
        <v>69</v>
      </c>
      <c r="AE64">
        <v>25</v>
      </c>
      <c r="AF64">
        <v>102</v>
      </c>
      <c r="AP64" t="s">
        <v>93</v>
      </c>
      <c r="AS64" t="s">
        <v>344</v>
      </c>
      <c r="AT64">
        <v>1.75</v>
      </c>
      <c r="AU64">
        <v>22</v>
      </c>
      <c r="AV64">
        <v>17</v>
      </c>
      <c r="AZ64">
        <v>222000</v>
      </c>
    </row>
    <row r="65" spans="1:53" x14ac:dyDescent="0.3">
      <c r="A65" s="7">
        <v>80</v>
      </c>
      <c r="B65" t="s">
        <v>1425</v>
      </c>
      <c r="C65" t="s">
        <v>1426</v>
      </c>
      <c r="D65" t="s">
        <v>1752</v>
      </c>
      <c r="E65" t="s">
        <v>62</v>
      </c>
      <c r="F65" t="s">
        <v>1753</v>
      </c>
      <c r="G65" s="6">
        <v>1026364</v>
      </c>
      <c r="H65">
        <v>2005.07</v>
      </c>
      <c r="I65" t="s">
        <v>1754</v>
      </c>
      <c r="J65" t="s">
        <v>1430</v>
      </c>
      <c r="K65" t="s">
        <v>204</v>
      </c>
      <c r="L65">
        <v>15161340623</v>
      </c>
      <c r="N65" t="s">
        <v>1755</v>
      </c>
      <c r="O65" s="2">
        <v>45705</v>
      </c>
      <c r="P65" s="2">
        <v>46435</v>
      </c>
      <c r="Q65" t="s">
        <v>65</v>
      </c>
      <c r="R65" t="s">
        <v>86</v>
      </c>
      <c r="S65" t="s">
        <v>155</v>
      </c>
      <c r="T65" t="s">
        <v>1756</v>
      </c>
      <c r="U65" t="s">
        <v>67</v>
      </c>
      <c r="V65" t="s">
        <v>57</v>
      </c>
      <c r="Z65" t="s">
        <v>113</v>
      </c>
      <c r="AA65" t="s">
        <v>290</v>
      </c>
      <c r="AB65" t="s">
        <v>65</v>
      </c>
      <c r="AC65">
        <v>1050</v>
      </c>
      <c r="AD65" t="s">
        <v>69</v>
      </c>
      <c r="AE65">
        <v>12</v>
      </c>
      <c r="AF65">
        <v>396</v>
      </c>
      <c r="AK65">
        <v>30</v>
      </c>
      <c r="AL65">
        <v>60</v>
      </c>
      <c r="AN65">
        <v>17</v>
      </c>
      <c r="AP65" t="s">
        <v>93</v>
      </c>
      <c r="AS65" t="s">
        <v>274</v>
      </c>
      <c r="AT65">
        <v>60</v>
      </c>
      <c r="AU65" t="s">
        <v>1630</v>
      </c>
      <c r="AV65">
        <v>28</v>
      </c>
      <c r="AW65">
        <v>12</v>
      </c>
      <c r="AZ65">
        <v>222000</v>
      </c>
      <c r="BA65" t="s">
        <v>166</v>
      </c>
    </row>
    <row r="66" spans="1:53" x14ac:dyDescent="0.3">
      <c r="A66" s="7">
        <v>81</v>
      </c>
      <c r="B66" t="s">
        <v>1425</v>
      </c>
      <c r="C66" t="s">
        <v>1426</v>
      </c>
      <c r="D66" t="s">
        <v>1757</v>
      </c>
      <c r="E66" t="s">
        <v>62</v>
      </c>
      <c r="F66" t="s">
        <v>1758</v>
      </c>
      <c r="G66" t="s">
        <v>1759</v>
      </c>
      <c r="H66">
        <v>2007.1</v>
      </c>
      <c r="I66" t="s">
        <v>1760</v>
      </c>
      <c r="J66" t="s">
        <v>1430</v>
      </c>
      <c r="K66" t="s">
        <v>204</v>
      </c>
      <c r="L66">
        <v>15161340623</v>
      </c>
      <c r="N66" t="s">
        <v>1761</v>
      </c>
      <c r="O66" s="2">
        <v>45705</v>
      </c>
      <c r="P66" s="2">
        <v>46435</v>
      </c>
      <c r="Q66" t="s">
        <v>65</v>
      </c>
      <c r="R66" t="s">
        <v>86</v>
      </c>
      <c r="S66" t="s">
        <v>155</v>
      </c>
      <c r="T66" t="s">
        <v>1762</v>
      </c>
      <c r="U66" t="s">
        <v>67</v>
      </c>
      <c r="V66" t="s">
        <v>57</v>
      </c>
      <c r="Z66" t="s">
        <v>113</v>
      </c>
      <c r="AA66" t="s">
        <v>159</v>
      </c>
      <c r="AB66" t="s">
        <v>65</v>
      </c>
      <c r="AC66">
        <v>1050</v>
      </c>
      <c r="AD66" t="s">
        <v>69</v>
      </c>
      <c r="AE66">
        <v>25</v>
      </c>
      <c r="AF66" t="s">
        <v>1710</v>
      </c>
      <c r="AK66">
        <v>30</v>
      </c>
      <c r="AL66">
        <v>60</v>
      </c>
      <c r="AN66">
        <v>17</v>
      </c>
      <c r="AP66" t="s">
        <v>93</v>
      </c>
      <c r="AS66" t="s">
        <v>274</v>
      </c>
      <c r="AT66" t="s">
        <v>1679</v>
      </c>
      <c r="AU66" t="s">
        <v>1763</v>
      </c>
      <c r="AV66">
        <v>28</v>
      </c>
      <c r="AW66" t="s">
        <v>1681</v>
      </c>
      <c r="AZ66">
        <v>222000</v>
      </c>
      <c r="BA66" t="s">
        <v>166</v>
      </c>
    </row>
    <row r="67" spans="1:53" x14ac:dyDescent="0.3">
      <c r="A67" s="7">
        <v>82</v>
      </c>
      <c r="B67" t="s">
        <v>1425</v>
      </c>
      <c r="C67" t="s">
        <v>1426</v>
      </c>
      <c r="D67" t="s">
        <v>1778</v>
      </c>
      <c r="E67" t="s">
        <v>62</v>
      </c>
      <c r="F67" t="s">
        <v>1667</v>
      </c>
      <c r="G67" t="s">
        <v>1779</v>
      </c>
      <c r="H67" s="3">
        <v>39716</v>
      </c>
      <c r="I67" t="s">
        <v>1780</v>
      </c>
      <c r="J67" t="s">
        <v>1430</v>
      </c>
      <c r="K67" t="s">
        <v>204</v>
      </c>
      <c r="L67">
        <v>15261372559</v>
      </c>
      <c r="N67" t="s">
        <v>1781</v>
      </c>
      <c r="O67" s="2">
        <v>45604</v>
      </c>
      <c r="P67" s="2">
        <v>46334</v>
      </c>
      <c r="Q67" t="s">
        <v>65</v>
      </c>
      <c r="R67" t="s">
        <v>86</v>
      </c>
      <c r="S67" t="s">
        <v>155</v>
      </c>
      <c r="T67" t="s">
        <v>1782</v>
      </c>
      <c r="U67" t="s">
        <v>1672</v>
      </c>
      <c r="V67" t="s">
        <v>57</v>
      </c>
      <c r="Z67" t="s">
        <v>113</v>
      </c>
      <c r="AA67" t="s">
        <v>159</v>
      </c>
      <c r="AB67" t="s">
        <v>65</v>
      </c>
      <c r="AC67">
        <v>1190</v>
      </c>
      <c r="AD67" t="s">
        <v>69</v>
      </c>
      <c r="AE67">
        <v>40</v>
      </c>
      <c r="AF67">
        <v>1480</v>
      </c>
      <c r="AP67" t="s">
        <v>93</v>
      </c>
      <c r="AS67" t="s">
        <v>1674</v>
      </c>
      <c r="AT67" t="s">
        <v>1190</v>
      </c>
      <c r="AU67">
        <f>-19-20/30</f>
        <v>-19.666666666666668</v>
      </c>
      <c r="AV67">
        <v>28</v>
      </c>
      <c r="AW67">
        <v>40</v>
      </c>
      <c r="AZ67">
        <v>222000</v>
      </c>
    </row>
    <row r="68" spans="1:53" x14ac:dyDescent="0.3">
      <c r="A68" s="7">
        <v>83</v>
      </c>
      <c r="B68" t="s">
        <v>1425</v>
      </c>
      <c r="C68" t="s">
        <v>1426</v>
      </c>
      <c r="D68" t="s">
        <v>1783</v>
      </c>
      <c r="E68" t="s">
        <v>62</v>
      </c>
      <c r="F68" t="s">
        <v>1667</v>
      </c>
      <c r="G68" t="s">
        <v>1784</v>
      </c>
      <c r="H68" s="3">
        <v>39716</v>
      </c>
      <c r="I68" t="s">
        <v>269</v>
      </c>
      <c r="J68" t="s">
        <v>1430</v>
      </c>
      <c r="K68" t="s">
        <v>204</v>
      </c>
      <c r="L68">
        <v>18761348365</v>
      </c>
      <c r="N68" t="s">
        <v>1785</v>
      </c>
      <c r="O68" s="2">
        <v>45803</v>
      </c>
      <c r="P68" s="2">
        <v>46533</v>
      </c>
      <c r="Q68" t="s">
        <v>65</v>
      </c>
      <c r="R68" t="s">
        <v>86</v>
      </c>
      <c r="S68" t="s">
        <v>155</v>
      </c>
      <c r="T68" t="s">
        <v>1786</v>
      </c>
      <c r="U68" t="s">
        <v>1672</v>
      </c>
      <c r="V68" t="s">
        <v>57</v>
      </c>
      <c r="Z68" t="s">
        <v>113</v>
      </c>
      <c r="AA68" t="s">
        <v>159</v>
      </c>
      <c r="AB68" t="s">
        <v>65</v>
      </c>
      <c r="AC68">
        <v>950</v>
      </c>
      <c r="AD68" t="s">
        <v>69</v>
      </c>
      <c r="AE68">
        <v>40</v>
      </c>
      <c r="AF68">
        <v>355</v>
      </c>
      <c r="AP68" t="s">
        <v>93</v>
      </c>
      <c r="AS68" t="s">
        <v>1674</v>
      </c>
      <c r="AT68">
        <v>60</v>
      </c>
      <c r="AU68">
        <v>20</v>
      </c>
      <c r="AV68">
        <v>28</v>
      </c>
      <c r="AW68">
        <v>40</v>
      </c>
      <c r="AZ68">
        <v>222000</v>
      </c>
    </row>
    <row r="69" spans="1:53" x14ac:dyDescent="0.3">
      <c r="A69" s="7">
        <v>84</v>
      </c>
      <c r="B69" t="s">
        <v>1425</v>
      </c>
      <c r="C69" t="s">
        <v>1426</v>
      </c>
      <c r="D69" t="s">
        <v>1787</v>
      </c>
      <c r="E69" t="s">
        <v>62</v>
      </c>
      <c r="F69" t="s">
        <v>1788</v>
      </c>
      <c r="G69" t="s">
        <v>1789</v>
      </c>
      <c r="H69" s="5">
        <v>39356</v>
      </c>
      <c r="I69" t="s">
        <v>1790</v>
      </c>
      <c r="J69" t="s">
        <v>1430</v>
      </c>
      <c r="K69" t="s">
        <v>190</v>
      </c>
      <c r="L69">
        <v>15022369739</v>
      </c>
      <c r="M69">
        <v>15022369739</v>
      </c>
      <c r="N69" t="s">
        <v>1791</v>
      </c>
      <c r="O69" s="2">
        <v>45250</v>
      </c>
      <c r="P69" s="2">
        <v>45981</v>
      </c>
      <c r="Q69" t="s">
        <v>65</v>
      </c>
      <c r="R69" t="s">
        <v>86</v>
      </c>
      <c r="S69" t="s">
        <v>87</v>
      </c>
      <c r="T69" t="s">
        <v>1792</v>
      </c>
      <c r="U69" t="s">
        <v>67</v>
      </c>
      <c r="V69" t="s">
        <v>57</v>
      </c>
      <c r="Z69" t="s">
        <v>113</v>
      </c>
      <c r="AA69" t="s">
        <v>159</v>
      </c>
      <c r="AB69" t="s">
        <v>1692</v>
      </c>
      <c r="AC69">
        <v>990</v>
      </c>
      <c r="AD69" t="s">
        <v>69</v>
      </c>
      <c r="AE69">
        <v>25</v>
      </c>
      <c r="AF69" t="s">
        <v>1710</v>
      </c>
      <c r="AK69">
        <v>30</v>
      </c>
      <c r="AL69">
        <v>60</v>
      </c>
      <c r="AN69">
        <v>17</v>
      </c>
      <c r="AP69" t="s">
        <v>93</v>
      </c>
      <c r="AR69" t="s">
        <v>1793</v>
      </c>
      <c r="AS69" t="s">
        <v>282</v>
      </c>
      <c r="AT69" t="s">
        <v>1679</v>
      </c>
      <c r="AU69" t="s">
        <v>1794</v>
      </c>
      <c r="AV69">
        <v>28</v>
      </c>
      <c r="AW69" t="s">
        <v>1681</v>
      </c>
      <c r="AZ69">
        <v>222000</v>
      </c>
      <c r="BA69" t="s">
        <v>166</v>
      </c>
    </row>
    <row r="70" spans="1:53" x14ac:dyDescent="0.3">
      <c r="A70" s="7">
        <v>85</v>
      </c>
      <c r="B70" t="s">
        <v>1425</v>
      </c>
      <c r="C70" t="s">
        <v>1426</v>
      </c>
      <c r="D70" t="s">
        <v>1795</v>
      </c>
      <c r="E70" t="s">
        <v>62</v>
      </c>
      <c r="F70" t="s">
        <v>1796</v>
      </c>
      <c r="G70" t="s">
        <v>60</v>
      </c>
      <c r="H70" s="3">
        <v>39783</v>
      </c>
      <c r="I70" t="s">
        <v>1707</v>
      </c>
      <c r="J70" t="s">
        <v>1430</v>
      </c>
      <c r="K70" t="s">
        <v>190</v>
      </c>
      <c r="L70">
        <v>15161340623</v>
      </c>
      <c r="M70">
        <v>15161340623</v>
      </c>
      <c r="N70" t="s">
        <v>1797</v>
      </c>
      <c r="O70" s="2">
        <v>45525</v>
      </c>
      <c r="P70" s="2">
        <v>46255</v>
      </c>
      <c r="Q70" t="s">
        <v>65</v>
      </c>
      <c r="R70" t="s">
        <v>86</v>
      </c>
      <c r="S70" t="s">
        <v>195</v>
      </c>
      <c r="T70" t="s">
        <v>1798</v>
      </c>
      <c r="V70" t="s">
        <v>57</v>
      </c>
      <c r="Z70" t="s">
        <v>113</v>
      </c>
      <c r="AA70" t="s">
        <v>159</v>
      </c>
      <c r="AB70" t="s">
        <v>65</v>
      </c>
      <c r="AC70">
        <v>1050</v>
      </c>
      <c r="AD70" t="s">
        <v>69</v>
      </c>
      <c r="AE70">
        <v>25</v>
      </c>
      <c r="AF70" t="s">
        <v>1710</v>
      </c>
      <c r="AK70">
        <v>30</v>
      </c>
      <c r="AL70">
        <v>60</v>
      </c>
      <c r="AN70">
        <v>17</v>
      </c>
      <c r="AP70" t="s">
        <v>163</v>
      </c>
      <c r="AS70" t="s">
        <v>282</v>
      </c>
      <c r="AT70" t="s">
        <v>1679</v>
      </c>
      <c r="AU70">
        <f>-15-28</f>
        <v>-43</v>
      </c>
      <c r="AV70">
        <v>28</v>
      </c>
      <c r="AW70" t="s">
        <v>1681</v>
      </c>
      <c r="AZ70">
        <v>222000</v>
      </c>
      <c r="BA70" t="s">
        <v>166</v>
      </c>
    </row>
    <row r="71" spans="1:53" x14ac:dyDescent="0.3">
      <c r="A71" s="7">
        <v>86</v>
      </c>
      <c r="B71" t="s">
        <v>1425</v>
      </c>
      <c r="C71" t="s">
        <v>1426</v>
      </c>
      <c r="D71" t="s">
        <v>1799</v>
      </c>
      <c r="E71" t="s">
        <v>62</v>
      </c>
      <c r="F71" t="s">
        <v>1758</v>
      </c>
      <c r="G71" t="s">
        <v>1800</v>
      </c>
      <c r="H71">
        <v>2007.1</v>
      </c>
      <c r="I71" t="s">
        <v>1801</v>
      </c>
      <c r="J71" t="s">
        <v>1430</v>
      </c>
      <c r="K71" t="s">
        <v>190</v>
      </c>
      <c r="L71">
        <v>13961385712</v>
      </c>
      <c r="M71">
        <v>13961385712</v>
      </c>
      <c r="N71" t="s">
        <v>1802</v>
      </c>
      <c r="O71" s="2">
        <v>45525</v>
      </c>
      <c r="P71" s="2">
        <v>46255</v>
      </c>
      <c r="Q71" t="s">
        <v>65</v>
      </c>
      <c r="R71" t="s">
        <v>86</v>
      </c>
      <c r="S71" t="s">
        <v>195</v>
      </c>
      <c r="T71" t="s">
        <v>1803</v>
      </c>
      <c r="U71" t="s">
        <v>67</v>
      </c>
      <c r="V71" t="s">
        <v>57</v>
      </c>
      <c r="Z71" t="s">
        <v>113</v>
      </c>
      <c r="AA71" t="s">
        <v>290</v>
      </c>
      <c r="AB71" t="s">
        <v>65</v>
      </c>
      <c r="AC71">
        <v>1170</v>
      </c>
      <c r="AD71" t="s">
        <v>69</v>
      </c>
      <c r="AE71">
        <v>25</v>
      </c>
      <c r="AF71" t="s">
        <v>1710</v>
      </c>
      <c r="AK71">
        <v>30</v>
      </c>
      <c r="AL71">
        <v>60</v>
      </c>
      <c r="AN71">
        <v>17</v>
      </c>
      <c r="AP71" t="s">
        <v>93</v>
      </c>
      <c r="AR71" t="s">
        <v>1804</v>
      </c>
      <c r="AS71" t="s">
        <v>274</v>
      </c>
      <c r="AT71" t="s">
        <v>1679</v>
      </c>
      <c r="AU71" t="s">
        <v>1718</v>
      </c>
      <c r="AV71">
        <v>28</v>
      </c>
      <c r="AW71" t="s">
        <v>1681</v>
      </c>
      <c r="AZ71">
        <v>222000</v>
      </c>
      <c r="BA71" t="s">
        <v>166</v>
      </c>
    </row>
    <row r="72" spans="1:53" x14ac:dyDescent="0.3">
      <c r="A72" s="7">
        <v>87</v>
      </c>
      <c r="B72" t="s">
        <v>1425</v>
      </c>
      <c r="C72" t="s">
        <v>1426</v>
      </c>
      <c r="D72" t="s">
        <v>1808</v>
      </c>
      <c r="E72" t="s">
        <v>62</v>
      </c>
      <c r="F72" t="s">
        <v>63</v>
      </c>
      <c r="G72" t="s">
        <v>1809</v>
      </c>
      <c r="H72" s="3">
        <v>41575</v>
      </c>
      <c r="I72" t="s">
        <v>1633</v>
      </c>
      <c r="J72" t="s">
        <v>1430</v>
      </c>
      <c r="K72" t="s">
        <v>204</v>
      </c>
      <c r="L72">
        <v>18761348365</v>
      </c>
      <c r="N72">
        <v>14</v>
      </c>
      <c r="O72" s="2">
        <v>45363</v>
      </c>
      <c r="P72" s="2">
        <v>46092</v>
      </c>
      <c r="Q72" t="s">
        <v>65</v>
      </c>
      <c r="R72" t="s">
        <v>86</v>
      </c>
      <c r="S72" t="s">
        <v>87</v>
      </c>
      <c r="T72" t="s">
        <v>1810</v>
      </c>
      <c r="U72" t="s">
        <v>67</v>
      </c>
      <c r="V72" t="s">
        <v>57</v>
      </c>
      <c r="X72" t="s">
        <v>1635</v>
      </c>
      <c r="Z72" t="s">
        <v>113</v>
      </c>
      <c r="AA72" t="s">
        <v>159</v>
      </c>
      <c r="AB72" t="s">
        <v>65</v>
      </c>
      <c r="AC72">
        <v>1190</v>
      </c>
      <c r="AD72" t="s">
        <v>69</v>
      </c>
      <c r="AE72">
        <v>40</v>
      </c>
      <c r="AF72">
        <v>1720</v>
      </c>
      <c r="AK72">
        <v>70</v>
      </c>
      <c r="AP72" t="s">
        <v>93</v>
      </c>
      <c r="AS72" t="s">
        <v>70</v>
      </c>
      <c r="AT72" t="s">
        <v>1139</v>
      </c>
      <c r="AU72">
        <f>-19-30/-19-20</f>
        <v>-37.421052631578945</v>
      </c>
      <c r="AV72">
        <v>27</v>
      </c>
      <c r="AW72">
        <v>40</v>
      </c>
      <c r="AZ72">
        <v>222000</v>
      </c>
    </row>
    <row r="73" spans="1:53" x14ac:dyDescent="0.3">
      <c r="A73" s="7">
        <v>88</v>
      </c>
      <c r="B73" t="s">
        <v>1425</v>
      </c>
      <c r="C73" t="s">
        <v>1426</v>
      </c>
      <c r="D73" t="s">
        <v>1811</v>
      </c>
      <c r="E73" t="s">
        <v>62</v>
      </c>
      <c r="F73" t="s">
        <v>439</v>
      </c>
      <c r="G73">
        <v>20060038</v>
      </c>
      <c r="H73" s="3">
        <v>38961</v>
      </c>
      <c r="I73" t="s">
        <v>1812</v>
      </c>
      <c r="J73" t="s">
        <v>1430</v>
      </c>
      <c r="K73" t="s">
        <v>204</v>
      </c>
      <c r="L73">
        <v>18352821898</v>
      </c>
      <c r="N73" t="s">
        <v>479</v>
      </c>
      <c r="O73" s="2">
        <v>45258</v>
      </c>
      <c r="P73" s="2">
        <v>45979</v>
      </c>
      <c r="Q73" t="s">
        <v>65</v>
      </c>
      <c r="R73" t="s">
        <v>86</v>
      </c>
      <c r="S73" t="s">
        <v>87</v>
      </c>
      <c r="T73" t="s">
        <v>1813</v>
      </c>
      <c r="U73" t="s">
        <v>62</v>
      </c>
      <c r="V73" t="s">
        <v>57</v>
      </c>
      <c r="X73" t="s">
        <v>1540</v>
      </c>
      <c r="Z73" t="s">
        <v>113</v>
      </c>
      <c r="AA73" t="s">
        <v>159</v>
      </c>
      <c r="AB73" t="s">
        <v>65</v>
      </c>
      <c r="AC73">
        <v>750</v>
      </c>
      <c r="AD73" t="s">
        <v>69</v>
      </c>
      <c r="AE73">
        <v>16</v>
      </c>
      <c r="AF73">
        <v>520</v>
      </c>
      <c r="AK73">
        <v>20</v>
      </c>
      <c r="AP73" t="s">
        <v>93</v>
      </c>
      <c r="AS73" t="s">
        <v>1814</v>
      </c>
      <c r="AT73">
        <v>48</v>
      </c>
      <c r="AU73">
        <v>28</v>
      </c>
      <c r="AV73">
        <v>27</v>
      </c>
      <c r="AW73">
        <v>16</v>
      </c>
      <c r="AZ73">
        <v>222000</v>
      </c>
    </row>
    <row r="74" spans="1:53" x14ac:dyDescent="0.3">
      <c r="A74" s="7">
        <v>89</v>
      </c>
      <c r="B74" t="s">
        <v>1425</v>
      </c>
      <c r="C74" t="s">
        <v>1426</v>
      </c>
      <c r="D74" t="s">
        <v>1815</v>
      </c>
      <c r="E74" t="s">
        <v>62</v>
      </c>
      <c r="F74" t="s">
        <v>1729</v>
      </c>
      <c r="G74" t="s">
        <v>1816</v>
      </c>
      <c r="H74" s="3">
        <v>38930</v>
      </c>
      <c r="I74" t="s">
        <v>1817</v>
      </c>
      <c r="J74" t="s">
        <v>1430</v>
      </c>
      <c r="K74" t="s">
        <v>204</v>
      </c>
      <c r="L74">
        <v>18352821898</v>
      </c>
      <c r="N74" t="s">
        <v>450</v>
      </c>
      <c r="O74" s="2">
        <v>45258</v>
      </c>
      <c r="P74" s="2">
        <v>45979</v>
      </c>
      <c r="Q74" t="s">
        <v>65</v>
      </c>
      <c r="R74" t="s">
        <v>86</v>
      </c>
      <c r="S74" t="s">
        <v>87</v>
      </c>
      <c r="T74" t="s">
        <v>1818</v>
      </c>
      <c r="U74" t="s">
        <v>62</v>
      </c>
      <c r="V74" t="s">
        <v>57</v>
      </c>
      <c r="X74" t="s">
        <v>1540</v>
      </c>
      <c r="Z74" t="s">
        <v>113</v>
      </c>
      <c r="AA74" t="s">
        <v>159</v>
      </c>
      <c r="AB74" t="s">
        <v>65</v>
      </c>
      <c r="AC74">
        <v>750</v>
      </c>
      <c r="AD74" t="s">
        <v>69</v>
      </c>
      <c r="AE74">
        <v>25</v>
      </c>
      <c r="AF74">
        <v>825</v>
      </c>
      <c r="AK74">
        <v>20</v>
      </c>
      <c r="AP74" t="s">
        <v>93</v>
      </c>
      <c r="AS74" t="s">
        <v>1674</v>
      </c>
      <c r="AT74">
        <v>60</v>
      </c>
      <c r="AU74">
        <v>28</v>
      </c>
      <c r="AV74">
        <v>27</v>
      </c>
      <c r="AW74">
        <v>25</v>
      </c>
      <c r="AZ74">
        <v>222000</v>
      </c>
    </row>
    <row r="75" spans="1:53" x14ac:dyDescent="0.3">
      <c r="A75" s="7">
        <v>90</v>
      </c>
      <c r="B75" t="s">
        <v>1425</v>
      </c>
      <c r="C75" t="s">
        <v>1426</v>
      </c>
      <c r="D75" t="s">
        <v>1819</v>
      </c>
      <c r="E75" t="s">
        <v>62</v>
      </c>
      <c r="F75" t="s">
        <v>439</v>
      </c>
      <c r="G75" t="s">
        <v>1820</v>
      </c>
      <c r="H75" s="3">
        <v>38777</v>
      </c>
      <c r="I75" t="s">
        <v>269</v>
      </c>
      <c r="J75" t="s">
        <v>1430</v>
      </c>
      <c r="K75" t="s">
        <v>204</v>
      </c>
      <c r="L75">
        <v>18352821898</v>
      </c>
      <c r="N75" t="s">
        <v>1821</v>
      </c>
      <c r="O75" s="2">
        <v>45755</v>
      </c>
      <c r="P75" s="2">
        <v>46485</v>
      </c>
      <c r="Q75" t="s">
        <v>65</v>
      </c>
      <c r="R75" t="s">
        <v>86</v>
      </c>
      <c r="S75" t="s">
        <v>155</v>
      </c>
      <c r="T75" t="s">
        <v>1822</v>
      </c>
      <c r="U75" t="s">
        <v>67</v>
      </c>
      <c r="V75" t="s">
        <v>57</v>
      </c>
      <c r="X75" t="s">
        <v>1540</v>
      </c>
      <c r="Z75" t="s">
        <v>113</v>
      </c>
      <c r="AA75" t="s">
        <v>159</v>
      </c>
      <c r="AB75" t="s">
        <v>65</v>
      </c>
      <c r="AC75">
        <v>750</v>
      </c>
      <c r="AD75" t="s">
        <v>69</v>
      </c>
      <c r="AE75">
        <v>16</v>
      </c>
      <c r="AF75">
        <v>355</v>
      </c>
      <c r="AP75" t="s">
        <v>93</v>
      </c>
      <c r="AS75" t="s">
        <v>1717</v>
      </c>
      <c r="AT75">
        <v>50</v>
      </c>
      <c r="AU75">
        <f>-15-20</f>
        <v>-35</v>
      </c>
      <c r="AV75">
        <v>28</v>
      </c>
      <c r="AW75">
        <v>16</v>
      </c>
      <c r="AZ75">
        <v>222000</v>
      </c>
    </row>
    <row r="76" spans="1:53" x14ac:dyDescent="0.3">
      <c r="A76" s="7">
        <v>91</v>
      </c>
      <c r="B76" t="s">
        <v>1425</v>
      </c>
      <c r="C76" t="s">
        <v>1426</v>
      </c>
      <c r="D76" t="s">
        <v>1823</v>
      </c>
      <c r="E76" t="s">
        <v>62</v>
      </c>
      <c r="F76" t="s">
        <v>442</v>
      </c>
      <c r="G76" t="s">
        <v>1824</v>
      </c>
      <c r="I76" t="s">
        <v>269</v>
      </c>
      <c r="J76" t="s">
        <v>1430</v>
      </c>
      <c r="K76" t="s">
        <v>204</v>
      </c>
      <c r="L76">
        <v>18761348365</v>
      </c>
      <c r="N76" t="s">
        <v>1825</v>
      </c>
      <c r="O76" s="2">
        <v>45755</v>
      </c>
      <c r="P76" s="2">
        <v>46485</v>
      </c>
      <c r="Q76" t="s">
        <v>65</v>
      </c>
      <c r="R76" t="s">
        <v>86</v>
      </c>
      <c r="S76" t="s">
        <v>155</v>
      </c>
      <c r="T76" t="s">
        <v>1826</v>
      </c>
      <c r="U76" t="s">
        <v>67</v>
      </c>
      <c r="V76" t="s">
        <v>57</v>
      </c>
      <c r="X76" t="s">
        <v>1540</v>
      </c>
      <c r="Z76" t="s">
        <v>113</v>
      </c>
      <c r="AA76" t="s">
        <v>159</v>
      </c>
      <c r="AB76" t="s">
        <v>65</v>
      </c>
      <c r="AC76">
        <v>750</v>
      </c>
      <c r="AD76" t="s">
        <v>69</v>
      </c>
      <c r="AE76">
        <v>25</v>
      </c>
      <c r="AF76">
        <v>710</v>
      </c>
      <c r="AK76">
        <v>1</v>
      </c>
      <c r="AP76" t="s">
        <v>93</v>
      </c>
      <c r="AS76" t="s">
        <v>1674</v>
      </c>
      <c r="AT76">
        <v>60</v>
      </c>
      <c r="AU76">
        <v>20</v>
      </c>
      <c r="AV76">
        <v>28</v>
      </c>
      <c r="AW76">
        <v>25</v>
      </c>
      <c r="AZ76">
        <v>222000</v>
      </c>
    </row>
    <row r="77" spans="1:53" x14ac:dyDescent="0.3">
      <c r="A77" s="7">
        <v>92</v>
      </c>
      <c r="B77" t="s">
        <v>1425</v>
      </c>
      <c r="C77" t="s">
        <v>1426</v>
      </c>
      <c r="D77" t="s">
        <v>1827</v>
      </c>
      <c r="E77" t="s">
        <v>62</v>
      </c>
      <c r="F77" t="s">
        <v>1828</v>
      </c>
      <c r="G77" t="s">
        <v>1829</v>
      </c>
      <c r="I77" t="s">
        <v>1502</v>
      </c>
      <c r="J77" t="s">
        <v>1430</v>
      </c>
      <c r="K77" t="s">
        <v>204</v>
      </c>
      <c r="L77">
        <v>15261372559</v>
      </c>
      <c r="N77" t="s">
        <v>1830</v>
      </c>
      <c r="O77" s="2">
        <v>45580</v>
      </c>
      <c r="P77" s="2">
        <v>46310</v>
      </c>
      <c r="Q77" t="s">
        <v>65</v>
      </c>
      <c r="R77" t="s">
        <v>86</v>
      </c>
      <c r="S77" t="s">
        <v>155</v>
      </c>
      <c r="T77" t="s">
        <v>1831</v>
      </c>
      <c r="U77" t="s">
        <v>67</v>
      </c>
      <c r="V77" t="s">
        <v>57</v>
      </c>
      <c r="X77" t="s">
        <v>1540</v>
      </c>
      <c r="Z77" t="s">
        <v>113</v>
      </c>
      <c r="AA77" t="s">
        <v>159</v>
      </c>
      <c r="AB77" t="s">
        <v>65</v>
      </c>
      <c r="AC77">
        <v>1190</v>
      </c>
      <c r="AD77" t="s">
        <v>69</v>
      </c>
      <c r="AE77">
        <v>40</v>
      </c>
      <c r="AF77">
        <v>1400</v>
      </c>
      <c r="AK77">
        <v>1</v>
      </c>
      <c r="AP77" t="s">
        <v>93</v>
      </c>
      <c r="AS77" t="s">
        <v>1674</v>
      </c>
      <c r="AT77">
        <v>50</v>
      </c>
      <c r="AU77">
        <f>-19-20/30</f>
        <v>-19.666666666666668</v>
      </c>
      <c r="AV77">
        <v>28</v>
      </c>
      <c r="AW77">
        <v>40</v>
      </c>
      <c r="AZ77">
        <v>222000</v>
      </c>
    </row>
    <row r="78" spans="1:53" x14ac:dyDescent="0.3">
      <c r="A78" s="7">
        <v>93</v>
      </c>
      <c r="B78" t="s">
        <v>1425</v>
      </c>
      <c r="C78" t="s">
        <v>1426</v>
      </c>
      <c r="D78" t="s">
        <v>1832</v>
      </c>
      <c r="E78" t="s">
        <v>62</v>
      </c>
      <c r="F78" t="s">
        <v>442</v>
      </c>
      <c r="G78" t="s">
        <v>1833</v>
      </c>
      <c r="I78" t="s">
        <v>269</v>
      </c>
      <c r="J78" t="s">
        <v>1430</v>
      </c>
      <c r="K78" t="s">
        <v>204</v>
      </c>
      <c r="L78">
        <v>18761348365</v>
      </c>
      <c r="N78" t="s">
        <v>1834</v>
      </c>
      <c r="O78" s="2">
        <v>45755</v>
      </c>
      <c r="P78" s="2">
        <v>46485</v>
      </c>
      <c r="Q78" t="s">
        <v>65</v>
      </c>
      <c r="R78" t="s">
        <v>86</v>
      </c>
      <c r="S78" t="s">
        <v>155</v>
      </c>
      <c r="T78" t="s">
        <v>1835</v>
      </c>
      <c r="U78" t="s">
        <v>67</v>
      </c>
      <c r="V78" t="s">
        <v>57</v>
      </c>
      <c r="X78" t="s">
        <v>1540</v>
      </c>
      <c r="Z78" t="s">
        <v>113</v>
      </c>
      <c r="AA78" t="s">
        <v>159</v>
      </c>
      <c r="AB78" t="s">
        <v>65</v>
      </c>
      <c r="AC78">
        <v>750</v>
      </c>
      <c r="AD78" t="s">
        <v>69</v>
      </c>
      <c r="AE78">
        <v>25</v>
      </c>
      <c r="AF78">
        <v>2850</v>
      </c>
      <c r="AK78">
        <v>1</v>
      </c>
      <c r="AP78" t="s">
        <v>93</v>
      </c>
      <c r="AS78" t="s">
        <v>1674</v>
      </c>
      <c r="AT78">
        <v>60</v>
      </c>
      <c r="AU78">
        <v>20</v>
      </c>
      <c r="AV78">
        <v>28</v>
      </c>
      <c r="AW78">
        <v>25</v>
      </c>
      <c r="AZ78">
        <v>222000</v>
      </c>
    </row>
    <row r="79" spans="1:53" x14ac:dyDescent="0.3">
      <c r="A79" s="7">
        <v>94</v>
      </c>
      <c r="B79" t="s">
        <v>1425</v>
      </c>
      <c r="C79" t="s">
        <v>1426</v>
      </c>
      <c r="D79" t="s">
        <v>1839</v>
      </c>
      <c r="E79" t="s">
        <v>62</v>
      </c>
      <c r="F79" t="s">
        <v>1840</v>
      </c>
      <c r="G79" t="s">
        <v>60</v>
      </c>
      <c r="I79" t="s">
        <v>1760</v>
      </c>
      <c r="J79" t="s">
        <v>1430</v>
      </c>
      <c r="K79" t="s">
        <v>190</v>
      </c>
      <c r="L79">
        <v>15161340623</v>
      </c>
      <c r="M79">
        <v>15161340623</v>
      </c>
      <c r="N79" t="s">
        <v>1841</v>
      </c>
      <c r="O79" s="2">
        <v>45525</v>
      </c>
      <c r="P79" s="2">
        <v>46255</v>
      </c>
      <c r="Q79" t="s">
        <v>65</v>
      </c>
      <c r="R79" t="s">
        <v>86</v>
      </c>
      <c r="S79" t="s">
        <v>195</v>
      </c>
      <c r="T79" t="s">
        <v>1842</v>
      </c>
      <c r="U79" t="s">
        <v>67</v>
      </c>
      <c r="V79" t="s">
        <v>57</v>
      </c>
      <c r="Z79" t="s">
        <v>113</v>
      </c>
      <c r="AA79" t="s">
        <v>159</v>
      </c>
      <c r="AB79" t="s">
        <v>65</v>
      </c>
      <c r="AC79">
        <v>930</v>
      </c>
      <c r="AD79" t="s">
        <v>69</v>
      </c>
      <c r="AE79">
        <v>12</v>
      </c>
      <c r="AF79">
        <v>396</v>
      </c>
      <c r="AK79">
        <v>60</v>
      </c>
      <c r="AN79">
        <v>17</v>
      </c>
      <c r="AP79" t="s">
        <v>163</v>
      </c>
      <c r="AS79" t="s">
        <v>199</v>
      </c>
      <c r="AT79">
        <v>60</v>
      </c>
      <c r="AU79">
        <f>-15-28</f>
        <v>-43</v>
      </c>
      <c r="AV79">
        <v>28</v>
      </c>
      <c r="AW79">
        <v>12</v>
      </c>
      <c r="AZ79">
        <v>222000</v>
      </c>
      <c r="BA79" t="s">
        <v>166</v>
      </c>
    </row>
    <row r="80" spans="1:53" x14ac:dyDescent="0.3">
      <c r="A80" s="7">
        <v>95</v>
      </c>
      <c r="B80" t="s">
        <v>1425</v>
      </c>
      <c r="C80" t="s">
        <v>1426</v>
      </c>
      <c r="D80" t="s">
        <v>1843</v>
      </c>
      <c r="E80" t="s">
        <v>62</v>
      </c>
      <c r="F80" t="s">
        <v>1840</v>
      </c>
      <c r="G80" t="s">
        <v>60</v>
      </c>
      <c r="H80" t="s">
        <v>83</v>
      </c>
      <c r="I80" t="s">
        <v>1707</v>
      </c>
      <c r="J80" t="s">
        <v>1430</v>
      </c>
      <c r="K80" t="s">
        <v>204</v>
      </c>
      <c r="L80">
        <v>15022369739</v>
      </c>
      <c r="N80" t="s">
        <v>1844</v>
      </c>
      <c r="O80" s="2">
        <v>45419</v>
      </c>
      <c r="P80" s="2">
        <v>46148</v>
      </c>
      <c r="Q80" t="s">
        <v>65</v>
      </c>
      <c r="R80" t="s">
        <v>86</v>
      </c>
      <c r="S80" t="s">
        <v>195</v>
      </c>
      <c r="T80" t="s">
        <v>1845</v>
      </c>
      <c r="U80" t="s">
        <v>67</v>
      </c>
      <c r="V80" t="s">
        <v>57</v>
      </c>
      <c r="Z80" t="s">
        <v>113</v>
      </c>
      <c r="AA80" t="s">
        <v>159</v>
      </c>
      <c r="AB80" t="s">
        <v>65</v>
      </c>
      <c r="AC80">
        <v>930</v>
      </c>
      <c r="AD80" t="s">
        <v>69</v>
      </c>
      <c r="AE80">
        <v>12</v>
      </c>
      <c r="AF80">
        <v>388</v>
      </c>
      <c r="AK80">
        <v>60</v>
      </c>
      <c r="AP80" t="s">
        <v>93</v>
      </c>
      <c r="AS80" t="s">
        <v>199</v>
      </c>
      <c r="AT80">
        <v>60</v>
      </c>
      <c r="AU80" t="s">
        <v>1763</v>
      </c>
      <c r="AV80">
        <v>27</v>
      </c>
      <c r="AW80">
        <v>12</v>
      </c>
      <c r="AZ80">
        <v>222000</v>
      </c>
      <c r="BA80" t="s">
        <v>166</v>
      </c>
    </row>
    <row r="81" spans="1:57" x14ac:dyDescent="0.3">
      <c r="A81" s="7">
        <v>96</v>
      </c>
      <c r="B81" t="s">
        <v>1425</v>
      </c>
      <c r="C81" t="s">
        <v>1426</v>
      </c>
      <c r="D81" t="s">
        <v>1846</v>
      </c>
      <c r="E81" t="s">
        <v>62</v>
      </c>
      <c r="F81" t="s">
        <v>1840</v>
      </c>
      <c r="G81" t="s">
        <v>60</v>
      </c>
      <c r="I81" t="s">
        <v>1754</v>
      </c>
      <c r="J81" t="s">
        <v>1430</v>
      </c>
      <c r="K81" t="s">
        <v>190</v>
      </c>
      <c r="L81">
        <v>15161340623</v>
      </c>
      <c r="M81">
        <v>15161340623</v>
      </c>
      <c r="N81" t="s">
        <v>1847</v>
      </c>
      <c r="O81" s="2">
        <v>45525</v>
      </c>
      <c r="P81" s="2">
        <v>46255</v>
      </c>
      <c r="Q81" t="s">
        <v>65</v>
      </c>
      <c r="R81" t="s">
        <v>86</v>
      </c>
      <c r="S81" t="s">
        <v>195</v>
      </c>
      <c r="T81" t="s">
        <v>1848</v>
      </c>
      <c r="U81" t="s">
        <v>67</v>
      </c>
      <c r="V81" t="s">
        <v>57</v>
      </c>
      <c r="Z81" t="s">
        <v>113</v>
      </c>
      <c r="AA81" t="s">
        <v>159</v>
      </c>
      <c r="AB81" t="s">
        <v>65</v>
      </c>
      <c r="AC81">
        <v>930</v>
      </c>
      <c r="AD81" t="s">
        <v>69</v>
      </c>
      <c r="AE81">
        <v>12</v>
      </c>
      <c r="AF81">
        <v>396</v>
      </c>
      <c r="AK81">
        <v>60</v>
      </c>
      <c r="AN81">
        <v>17</v>
      </c>
      <c r="AP81" t="s">
        <v>163</v>
      </c>
      <c r="AS81" t="s">
        <v>199</v>
      </c>
      <c r="AT81">
        <v>60</v>
      </c>
      <c r="AU81">
        <v>28</v>
      </c>
      <c r="AV81">
        <v>28</v>
      </c>
      <c r="AW81">
        <v>12</v>
      </c>
      <c r="AZ81">
        <v>222000</v>
      </c>
      <c r="BA81" t="s">
        <v>166</v>
      </c>
    </row>
    <row r="82" spans="1:57" x14ac:dyDescent="0.3">
      <c r="A82" s="7">
        <v>97</v>
      </c>
      <c r="B82" t="s">
        <v>1425</v>
      </c>
      <c r="C82" t="s">
        <v>1426</v>
      </c>
      <c r="D82" t="s">
        <v>1849</v>
      </c>
      <c r="E82" t="s">
        <v>62</v>
      </c>
      <c r="F82" t="s">
        <v>1840</v>
      </c>
      <c r="G82" t="s">
        <v>60</v>
      </c>
      <c r="I82" t="s">
        <v>1850</v>
      </c>
      <c r="J82" t="s">
        <v>1430</v>
      </c>
      <c r="K82" t="s">
        <v>190</v>
      </c>
      <c r="L82">
        <v>15161340623</v>
      </c>
      <c r="M82">
        <v>15161340623</v>
      </c>
      <c r="N82" t="s">
        <v>1851</v>
      </c>
      <c r="O82" s="2">
        <v>45525</v>
      </c>
      <c r="P82" s="2">
        <v>46255</v>
      </c>
      <c r="Q82" t="s">
        <v>65</v>
      </c>
      <c r="R82" t="s">
        <v>86</v>
      </c>
      <c r="S82" t="s">
        <v>195</v>
      </c>
      <c r="T82" t="s">
        <v>1852</v>
      </c>
      <c r="U82" t="s">
        <v>67</v>
      </c>
      <c r="V82" t="s">
        <v>57</v>
      </c>
      <c r="Z82" t="s">
        <v>113</v>
      </c>
      <c r="AA82" t="s">
        <v>159</v>
      </c>
      <c r="AB82" t="s">
        <v>65</v>
      </c>
      <c r="AC82">
        <v>930</v>
      </c>
      <c r="AD82" t="s">
        <v>69</v>
      </c>
      <c r="AE82">
        <v>12</v>
      </c>
      <c r="AF82">
        <v>396</v>
      </c>
      <c r="AK82">
        <v>60</v>
      </c>
      <c r="AN82">
        <v>17</v>
      </c>
      <c r="AP82" t="s">
        <v>163</v>
      </c>
      <c r="AS82" t="s">
        <v>199</v>
      </c>
      <c r="AT82">
        <v>60</v>
      </c>
      <c r="AU82">
        <f>-15-28</f>
        <v>-43</v>
      </c>
      <c r="AV82">
        <v>28</v>
      </c>
      <c r="AW82">
        <v>12</v>
      </c>
      <c r="AZ82">
        <v>222000</v>
      </c>
      <c r="BA82" t="s">
        <v>166</v>
      </c>
    </row>
    <row r="83" spans="1:57" x14ac:dyDescent="0.3">
      <c r="A83" s="7">
        <v>98</v>
      </c>
      <c r="B83" t="s">
        <v>1425</v>
      </c>
      <c r="C83" t="s">
        <v>1426</v>
      </c>
      <c r="D83" t="s">
        <v>1853</v>
      </c>
      <c r="E83" t="s">
        <v>62</v>
      </c>
      <c r="F83" t="s">
        <v>1840</v>
      </c>
      <c r="G83" t="s">
        <v>60</v>
      </c>
      <c r="I83" t="s">
        <v>1760</v>
      </c>
      <c r="J83" t="s">
        <v>1430</v>
      </c>
      <c r="K83" t="s">
        <v>190</v>
      </c>
      <c r="L83">
        <v>15161340623</v>
      </c>
      <c r="M83">
        <v>15161340623</v>
      </c>
      <c r="N83" t="s">
        <v>1854</v>
      </c>
      <c r="O83" s="2">
        <v>45525</v>
      </c>
      <c r="P83" s="2">
        <v>46255</v>
      </c>
      <c r="Q83" t="s">
        <v>65</v>
      </c>
      <c r="R83" t="s">
        <v>86</v>
      </c>
      <c r="S83" t="s">
        <v>195</v>
      </c>
      <c r="T83" t="s">
        <v>1855</v>
      </c>
      <c r="U83" t="s">
        <v>67</v>
      </c>
      <c r="V83" t="s">
        <v>57</v>
      </c>
      <c r="Z83" t="s">
        <v>113</v>
      </c>
      <c r="AA83" t="s">
        <v>159</v>
      </c>
      <c r="AB83" t="s">
        <v>65</v>
      </c>
      <c r="AC83">
        <v>930</v>
      </c>
      <c r="AD83" t="s">
        <v>69</v>
      </c>
      <c r="AE83">
        <v>12</v>
      </c>
      <c r="AF83">
        <v>396</v>
      </c>
      <c r="AK83">
        <v>60</v>
      </c>
      <c r="AN83">
        <v>17</v>
      </c>
      <c r="AP83" t="s">
        <v>163</v>
      </c>
      <c r="AS83" t="s">
        <v>199</v>
      </c>
      <c r="AT83">
        <v>60</v>
      </c>
      <c r="AU83">
        <f>-15-28</f>
        <v>-43</v>
      </c>
      <c r="AV83">
        <v>28</v>
      </c>
      <c r="AW83">
        <v>12</v>
      </c>
      <c r="AZ83">
        <v>222000</v>
      </c>
      <c r="BA83" t="s">
        <v>166</v>
      </c>
    </row>
    <row r="84" spans="1:57" x14ac:dyDescent="0.3">
      <c r="A84" s="7">
        <v>99</v>
      </c>
      <c r="B84" t="s">
        <v>1425</v>
      </c>
      <c r="C84" t="s">
        <v>1426</v>
      </c>
      <c r="D84" t="s">
        <v>1856</v>
      </c>
      <c r="E84" t="s">
        <v>62</v>
      </c>
      <c r="F84" t="s">
        <v>439</v>
      </c>
      <c r="G84">
        <v>20060038</v>
      </c>
      <c r="H84" s="3">
        <v>71498</v>
      </c>
      <c r="I84" t="s">
        <v>1649</v>
      </c>
      <c r="J84" t="s">
        <v>1430</v>
      </c>
      <c r="K84" t="s">
        <v>204</v>
      </c>
      <c r="L84">
        <v>18352821898</v>
      </c>
      <c r="N84" t="s">
        <v>1857</v>
      </c>
      <c r="O84" s="2">
        <v>45580</v>
      </c>
      <c r="P84" s="2">
        <v>46310</v>
      </c>
      <c r="Q84" t="s">
        <v>65</v>
      </c>
      <c r="R84" t="s">
        <v>86</v>
      </c>
      <c r="S84" t="s">
        <v>155</v>
      </c>
      <c r="T84" t="s">
        <v>1858</v>
      </c>
      <c r="U84" t="s">
        <v>67</v>
      </c>
      <c r="V84" t="s">
        <v>57</v>
      </c>
      <c r="Z84" t="s">
        <v>113</v>
      </c>
      <c r="AA84" t="s">
        <v>159</v>
      </c>
      <c r="AB84" t="s">
        <v>65</v>
      </c>
      <c r="AC84">
        <v>930</v>
      </c>
      <c r="AD84" t="s">
        <v>69</v>
      </c>
      <c r="AE84">
        <v>25</v>
      </c>
      <c r="AF84">
        <v>360</v>
      </c>
      <c r="AK84">
        <v>45</v>
      </c>
      <c r="AN84">
        <v>15.5</v>
      </c>
      <c r="AP84" t="s">
        <v>163</v>
      </c>
      <c r="AS84" t="s">
        <v>1577</v>
      </c>
      <c r="AT84" t="s">
        <v>1578</v>
      </c>
      <c r="AU84" t="s">
        <v>1859</v>
      </c>
      <c r="AV84">
        <v>28</v>
      </c>
      <c r="AW84" t="s">
        <v>1681</v>
      </c>
      <c r="AZ84">
        <v>222000</v>
      </c>
    </row>
    <row r="85" spans="1:57" x14ac:dyDescent="0.3">
      <c r="A85" s="7">
        <v>100</v>
      </c>
      <c r="B85" t="s">
        <v>1425</v>
      </c>
      <c r="C85" t="s">
        <v>1426</v>
      </c>
      <c r="D85" t="s">
        <v>1860</v>
      </c>
      <c r="E85" t="s">
        <v>62</v>
      </c>
      <c r="F85" t="s">
        <v>63</v>
      </c>
      <c r="G85" t="s">
        <v>1861</v>
      </c>
      <c r="H85" s="3">
        <v>41575</v>
      </c>
      <c r="I85" t="s">
        <v>1633</v>
      </c>
      <c r="J85" t="s">
        <v>1430</v>
      </c>
      <c r="K85" t="s">
        <v>204</v>
      </c>
      <c r="L85">
        <v>13961385712</v>
      </c>
      <c r="N85">
        <v>13</v>
      </c>
      <c r="O85" s="2">
        <v>45363</v>
      </c>
      <c r="P85" s="2">
        <v>46092</v>
      </c>
      <c r="Q85" t="s">
        <v>65</v>
      </c>
      <c r="R85" t="s">
        <v>86</v>
      </c>
      <c r="S85" t="s">
        <v>87</v>
      </c>
      <c r="T85" t="s">
        <v>1862</v>
      </c>
      <c r="U85" t="s">
        <v>67</v>
      </c>
      <c r="V85" t="s">
        <v>57</v>
      </c>
      <c r="X85" t="s">
        <v>1635</v>
      </c>
      <c r="Z85" t="s">
        <v>113</v>
      </c>
      <c r="AA85" t="s">
        <v>159</v>
      </c>
      <c r="AB85" t="s">
        <v>65</v>
      </c>
      <c r="AC85">
        <v>1190</v>
      </c>
      <c r="AD85" t="s">
        <v>69</v>
      </c>
      <c r="AE85">
        <v>40</v>
      </c>
      <c r="AF85">
        <v>1720</v>
      </c>
      <c r="AK85">
        <v>70</v>
      </c>
      <c r="AP85" t="s">
        <v>93</v>
      </c>
      <c r="AS85" t="s">
        <v>70</v>
      </c>
      <c r="AT85" t="s">
        <v>1190</v>
      </c>
      <c r="AU85">
        <f>-19-30/-19-20</f>
        <v>-37.421052631578945</v>
      </c>
      <c r="AV85">
        <v>27</v>
      </c>
      <c r="AW85">
        <v>40</v>
      </c>
      <c r="AZ85">
        <v>222000</v>
      </c>
    </row>
    <row r="86" spans="1:57" x14ac:dyDescent="0.3">
      <c r="A86" s="7">
        <v>101</v>
      </c>
      <c r="B86" t="s">
        <v>1425</v>
      </c>
      <c r="C86" t="s">
        <v>1426</v>
      </c>
      <c r="D86" t="s">
        <v>1866</v>
      </c>
      <c r="E86" t="s">
        <v>62</v>
      </c>
      <c r="F86" t="s">
        <v>439</v>
      </c>
      <c r="G86" s="6">
        <v>37681</v>
      </c>
      <c r="H86" s="3">
        <v>71498</v>
      </c>
      <c r="I86" t="s">
        <v>269</v>
      </c>
      <c r="J86" t="s">
        <v>1430</v>
      </c>
      <c r="K86" t="s">
        <v>204</v>
      </c>
      <c r="L86">
        <v>18352821898</v>
      </c>
      <c r="N86" t="s">
        <v>1867</v>
      </c>
      <c r="O86" s="2">
        <v>45755</v>
      </c>
      <c r="P86" s="2">
        <v>46485</v>
      </c>
      <c r="Q86" t="s">
        <v>65</v>
      </c>
      <c r="R86" t="s">
        <v>86</v>
      </c>
      <c r="S86" t="s">
        <v>155</v>
      </c>
      <c r="T86" t="s">
        <v>1868</v>
      </c>
      <c r="U86" t="s">
        <v>67</v>
      </c>
      <c r="V86" t="s">
        <v>57</v>
      </c>
      <c r="X86" t="s">
        <v>1540</v>
      </c>
      <c r="Z86" t="s">
        <v>113</v>
      </c>
      <c r="AA86" t="s">
        <v>159</v>
      </c>
      <c r="AB86" t="s">
        <v>65</v>
      </c>
      <c r="AC86">
        <v>750</v>
      </c>
      <c r="AD86" t="s">
        <v>69</v>
      </c>
      <c r="AE86">
        <v>16</v>
      </c>
      <c r="AF86">
        <v>360</v>
      </c>
      <c r="AK86">
        <v>1</v>
      </c>
      <c r="AP86" t="s">
        <v>93</v>
      </c>
      <c r="AS86" t="s">
        <v>1577</v>
      </c>
      <c r="AT86">
        <v>48</v>
      </c>
      <c r="AU86">
        <f>-28-28</f>
        <v>-56</v>
      </c>
      <c r="AV86">
        <v>28</v>
      </c>
      <c r="AW86">
        <v>16</v>
      </c>
      <c r="AZ86">
        <v>222000</v>
      </c>
    </row>
    <row r="87" spans="1:57" x14ac:dyDescent="0.3">
      <c r="A87" s="7">
        <v>102</v>
      </c>
      <c r="B87" t="s">
        <v>1425</v>
      </c>
      <c r="C87" t="s">
        <v>1426</v>
      </c>
      <c r="D87" t="s">
        <v>1869</v>
      </c>
      <c r="E87" t="s">
        <v>62</v>
      </c>
      <c r="F87" t="s">
        <v>439</v>
      </c>
      <c r="G87" s="6">
        <v>37653</v>
      </c>
      <c r="H87" s="3">
        <v>71498</v>
      </c>
      <c r="I87" t="s">
        <v>269</v>
      </c>
      <c r="J87" t="s">
        <v>1430</v>
      </c>
      <c r="K87" t="s">
        <v>204</v>
      </c>
      <c r="L87">
        <v>18352821898</v>
      </c>
      <c r="N87" t="s">
        <v>1870</v>
      </c>
      <c r="O87" s="2">
        <v>45755</v>
      </c>
      <c r="P87" s="2">
        <v>46485</v>
      </c>
      <c r="Q87" t="s">
        <v>65</v>
      </c>
      <c r="R87" t="s">
        <v>86</v>
      </c>
      <c r="S87" t="s">
        <v>155</v>
      </c>
      <c r="T87" t="s">
        <v>1871</v>
      </c>
      <c r="U87" t="s">
        <v>67</v>
      </c>
      <c r="V87" t="s">
        <v>57</v>
      </c>
      <c r="X87" t="s">
        <v>1540</v>
      </c>
      <c r="Z87" t="s">
        <v>113</v>
      </c>
      <c r="AA87" t="s">
        <v>159</v>
      </c>
      <c r="AB87" t="s">
        <v>65</v>
      </c>
      <c r="AC87">
        <v>750</v>
      </c>
      <c r="AD87" t="s">
        <v>69</v>
      </c>
      <c r="AE87">
        <v>16</v>
      </c>
      <c r="AF87">
        <v>360</v>
      </c>
      <c r="AK87">
        <v>1</v>
      </c>
      <c r="AP87" t="s">
        <v>93</v>
      </c>
      <c r="AS87" t="s">
        <v>1577</v>
      </c>
      <c r="AT87">
        <v>48</v>
      </c>
      <c r="AU87">
        <f>-28-28</f>
        <v>-56</v>
      </c>
      <c r="AV87">
        <v>28</v>
      </c>
      <c r="AW87">
        <v>16</v>
      </c>
      <c r="AZ87">
        <v>222000</v>
      </c>
    </row>
    <row r="88" spans="1:57" x14ac:dyDescent="0.3">
      <c r="A88" s="7">
        <v>103</v>
      </c>
      <c r="B88" t="s">
        <v>1425</v>
      </c>
      <c r="C88" t="s">
        <v>1426</v>
      </c>
      <c r="D88" t="s">
        <v>1903</v>
      </c>
      <c r="E88" t="s">
        <v>62</v>
      </c>
      <c r="F88" t="s">
        <v>1705</v>
      </c>
      <c r="G88" t="s">
        <v>1904</v>
      </c>
      <c r="I88" t="s">
        <v>1707</v>
      </c>
      <c r="J88" t="s">
        <v>1430</v>
      </c>
      <c r="K88" t="s">
        <v>204</v>
      </c>
      <c r="L88">
        <v>15022369739</v>
      </c>
      <c r="N88" t="s">
        <v>1905</v>
      </c>
      <c r="O88" s="2">
        <v>45705</v>
      </c>
      <c r="P88" s="2">
        <v>46435</v>
      </c>
      <c r="Q88" t="s">
        <v>65</v>
      </c>
      <c r="R88" t="s">
        <v>86</v>
      </c>
      <c r="S88" t="s">
        <v>155</v>
      </c>
      <c r="T88" t="s">
        <v>1906</v>
      </c>
      <c r="U88" t="s">
        <v>67</v>
      </c>
      <c r="V88" t="s">
        <v>57</v>
      </c>
      <c r="X88" t="s">
        <v>209</v>
      </c>
      <c r="Z88" t="s">
        <v>113</v>
      </c>
      <c r="AA88" t="s">
        <v>159</v>
      </c>
      <c r="AB88" t="s">
        <v>65</v>
      </c>
      <c r="AC88">
        <v>930</v>
      </c>
      <c r="AD88" t="s">
        <v>69</v>
      </c>
      <c r="AE88">
        <v>25</v>
      </c>
      <c r="AF88" t="s">
        <v>1710</v>
      </c>
      <c r="AP88" t="s">
        <v>93</v>
      </c>
      <c r="AS88" t="s">
        <v>274</v>
      </c>
      <c r="AT88" t="s">
        <v>1711</v>
      </c>
      <c r="AU88" t="s">
        <v>1630</v>
      </c>
      <c r="AV88">
        <v>28</v>
      </c>
      <c r="AW88">
        <v>25</v>
      </c>
      <c r="AZ88">
        <v>222000</v>
      </c>
      <c r="BA88" t="s">
        <v>166</v>
      </c>
    </row>
    <row r="89" spans="1:57" x14ac:dyDescent="0.3">
      <c r="A89" s="7">
        <v>104</v>
      </c>
      <c r="B89" t="s">
        <v>1425</v>
      </c>
      <c r="C89" t="s">
        <v>1426</v>
      </c>
      <c r="D89" t="s">
        <v>1907</v>
      </c>
      <c r="E89" t="s">
        <v>124</v>
      </c>
      <c r="F89" t="s">
        <v>1908</v>
      </c>
      <c r="G89">
        <v>61014046</v>
      </c>
      <c r="H89" t="s">
        <v>83</v>
      </c>
      <c r="I89" t="s">
        <v>1909</v>
      </c>
      <c r="J89" t="s">
        <v>1430</v>
      </c>
      <c r="K89" t="s">
        <v>204</v>
      </c>
      <c r="L89">
        <v>18352821898</v>
      </c>
      <c r="N89" t="s">
        <v>1910</v>
      </c>
      <c r="O89" s="2">
        <v>45393</v>
      </c>
      <c r="P89" s="2">
        <v>46122</v>
      </c>
      <c r="Q89" t="s">
        <v>65</v>
      </c>
      <c r="R89" t="s">
        <v>86</v>
      </c>
      <c r="S89" t="s">
        <v>87</v>
      </c>
      <c r="T89" t="s">
        <v>1911</v>
      </c>
      <c r="U89" t="s">
        <v>124</v>
      </c>
      <c r="V89" t="s">
        <v>57</v>
      </c>
      <c r="X89" t="s">
        <v>204</v>
      </c>
      <c r="Z89" t="s">
        <v>113</v>
      </c>
      <c r="AA89" t="s">
        <v>159</v>
      </c>
      <c r="AB89" t="s">
        <v>65</v>
      </c>
      <c r="AC89">
        <v>550</v>
      </c>
      <c r="AD89" t="s">
        <v>69</v>
      </c>
      <c r="AE89">
        <v>5</v>
      </c>
      <c r="AF89">
        <v>0</v>
      </c>
      <c r="AH89">
        <v>20</v>
      </c>
      <c r="AP89" t="s">
        <v>93</v>
      </c>
      <c r="AQ89" t="s">
        <v>94</v>
      </c>
      <c r="AS89" t="s">
        <v>1878</v>
      </c>
      <c r="AT89">
        <v>8</v>
      </c>
      <c r="AU89">
        <v>6</v>
      </c>
      <c r="AV89">
        <v>15</v>
      </c>
      <c r="AW89">
        <v>5</v>
      </c>
      <c r="AZ89">
        <v>222000</v>
      </c>
      <c r="BB89" t="s">
        <v>248</v>
      </c>
    </row>
    <row r="90" spans="1:57" x14ac:dyDescent="0.3">
      <c r="A90" s="7">
        <v>105</v>
      </c>
      <c r="B90" t="s">
        <v>1425</v>
      </c>
      <c r="C90" t="s">
        <v>1426</v>
      </c>
      <c r="D90" t="s">
        <v>1912</v>
      </c>
      <c r="E90" t="s">
        <v>214</v>
      </c>
      <c r="F90" t="s">
        <v>1913</v>
      </c>
      <c r="G90">
        <v>70032</v>
      </c>
      <c r="I90" t="s">
        <v>1600</v>
      </c>
      <c r="J90" t="s">
        <v>1430</v>
      </c>
      <c r="K90" t="s">
        <v>1601</v>
      </c>
      <c r="L90">
        <v>18061393719</v>
      </c>
      <c r="N90" t="s">
        <v>1914</v>
      </c>
      <c r="O90" s="2">
        <v>45758</v>
      </c>
      <c r="P90" s="2">
        <v>46123</v>
      </c>
      <c r="Q90" t="s">
        <v>65</v>
      </c>
      <c r="R90" t="s">
        <v>86</v>
      </c>
      <c r="S90" t="s">
        <v>155</v>
      </c>
      <c r="T90" t="s">
        <v>1915</v>
      </c>
      <c r="U90" t="s">
        <v>214</v>
      </c>
      <c r="V90" t="s">
        <v>57</v>
      </c>
      <c r="X90" t="s">
        <v>1580</v>
      </c>
      <c r="Z90" t="s">
        <v>113</v>
      </c>
      <c r="AA90" t="s">
        <v>159</v>
      </c>
      <c r="AB90" t="s">
        <v>65</v>
      </c>
      <c r="AC90">
        <v>890</v>
      </c>
      <c r="AD90" t="s">
        <v>69</v>
      </c>
      <c r="AE90">
        <v>50</v>
      </c>
      <c r="AF90">
        <v>206</v>
      </c>
      <c r="AK90">
        <v>140</v>
      </c>
      <c r="AP90" t="s">
        <v>93</v>
      </c>
      <c r="AS90" t="s">
        <v>1581</v>
      </c>
      <c r="AT90">
        <v>140</v>
      </c>
      <c r="AU90">
        <v>19</v>
      </c>
      <c r="AV90">
        <v>22</v>
      </c>
      <c r="AZ90">
        <v>222000</v>
      </c>
      <c r="BA90" t="s">
        <v>166</v>
      </c>
    </row>
    <row r="91" spans="1:57" x14ac:dyDescent="0.3">
      <c r="A91" s="7">
        <v>106</v>
      </c>
      <c r="B91" t="s">
        <v>1425</v>
      </c>
      <c r="C91" t="s">
        <v>1426</v>
      </c>
      <c r="D91" t="s">
        <v>1916</v>
      </c>
      <c r="E91" t="s">
        <v>214</v>
      </c>
      <c r="F91" t="s">
        <v>1913</v>
      </c>
      <c r="G91">
        <v>80055</v>
      </c>
      <c r="I91" t="s">
        <v>1539</v>
      </c>
      <c r="J91" t="s">
        <v>1430</v>
      </c>
      <c r="K91" t="s">
        <v>1540</v>
      </c>
      <c r="L91">
        <v>18352821898</v>
      </c>
      <c r="N91" t="s">
        <v>1917</v>
      </c>
      <c r="O91" s="2">
        <v>45754</v>
      </c>
      <c r="P91" s="2">
        <v>46119</v>
      </c>
      <c r="Q91" t="s">
        <v>65</v>
      </c>
      <c r="R91" t="s">
        <v>86</v>
      </c>
      <c r="S91" t="s">
        <v>155</v>
      </c>
      <c r="T91" t="s">
        <v>1918</v>
      </c>
      <c r="U91" t="s">
        <v>214</v>
      </c>
      <c r="V91" t="s">
        <v>57</v>
      </c>
      <c r="X91" t="s">
        <v>1540</v>
      </c>
      <c r="Z91" t="s">
        <v>113</v>
      </c>
      <c r="AA91" t="s">
        <v>159</v>
      </c>
      <c r="AB91" t="s">
        <v>65</v>
      </c>
      <c r="AC91">
        <v>890</v>
      </c>
      <c r="AD91" t="s">
        <v>69</v>
      </c>
      <c r="AE91">
        <v>50</v>
      </c>
      <c r="AF91">
        <v>200</v>
      </c>
      <c r="AP91" t="s">
        <v>93</v>
      </c>
      <c r="AS91" t="s">
        <v>344</v>
      </c>
      <c r="AT91">
        <v>1.75</v>
      </c>
      <c r="AU91">
        <v>24</v>
      </c>
      <c r="AV91">
        <v>17</v>
      </c>
      <c r="AZ91">
        <v>222000</v>
      </c>
    </row>
    <row r="92" spans="1:57" x14ac:dyDescent="0.3">
      <c r="A92" s="7">
        <v>107</v>
      </c>
      <c r="B92" t="s">
        <v>1425</v>
      </c>
      <c r="C92" t="s">
        <v>1426</v>
      </c>
      <c r="D92" t="s">
        <v>1919</v>
      </c>
      <c r="E92" t="s">
        <v>214</v>
      </c>
      <c r="F92" t="s">
        <v>1913</v>
      </c>
      <c r="G92">
        <v>80051</v>
      </c>
      <c r="I92" t="s">
        <v>1429</v>
      </c>
      <c r="J92" t="s">
        <v>1430</v>
      </c>
      <c r="K92" t="s">
        <v>1540</v>
      </c>
      <c r="L92">
        <v>18352821898</v>
      </c>
      <c r="N92" t="s">
        <v>1920</v>
      </c>
      <c r="O92" s="2">
        <v>45754</v>
      </c>
      <c r="P92" s="2">
        <v>46119</v>
      </c>
      <c r="Q92" t="s">
        <v>65</v>
      </c>
      <c r="R92" t="s">
        <v>86</v>
      </c>
      <c r="S92" t="s">
        <v>155</v>
      </c>
      <c r="T92" t="s">
        <v>1921</v>
      </c>
      <c r="U92" t="s">
        <v>214</v>
      </c>
      <c r="V92" t="s">
        <v>57</v>
      </c>
      <c r="X92" t="s">
        <v>1540</v>
      </c>
      <c r="Z92" t="s">
        <v>113</v>
      </c>
      <c r="AA92" t="s">
        <v>159</v>
      </c>
      <c r="AB92" t="s">
        <v>65</v>
      </c>
      <c r="AC92">
        <v>890</v>
      </c>
      <c r="AD92" t="s">
        <v>69</v>
      </c>
      <c r="AE92">
        <v>50</v>
      </c>
      <c r="AF92">
        <v>200</v>
      </c>
      <c r="AP92" t="s">
        <v>93</v>
      </c>
      <c r="AS92" t="s">
        <v>344</v>
      </c>
      <c r="AT92">
        <v>1.75</v>
      </c>
      <c r="AU92">
        <v>24</v>
      </c>
      <c r="AV92">
        <v>17</v>
      </c>
      <c r="AZ92">
        <v>222000</v>
      </c>
    </row>
    <row r="93" spans="1:57" x14ac:dyDescent="0.3">
      <c r="A93" s="7">
        <v>108</v>
      </c>
      <c r="B93" t="s">
        <v>1425</v>
      </c>
      <c r="C93" t="s">
        <v>1426</v>
      </c>
      <c r="D93" t="s">
        <v>1922</v>
      </c>
      <c r="E93" t="s">
        <v>214</v>
      </c>
      <c r="F93" t="s">
        <v>341</v>
      </c>
      <c r="G93">
        <v>80228</v>
      </c>
      <c r="H93">
        <v>200905</v>
      </c>
      <c r="I93" t="s">
        <v>1539</v>
      </c>
      <c r="J93" t="s">
        <v>1430</v>
      </c>
      <c r="K93" t="s">
        <v>1467</v>
      </c>
      <c r="L93">
        <v>18251400586</v>
      </c>
      <c r="N93" t="s">
        <v>1923</v>
      </c>
      <c r="O93" s="2">
        <v>45754</v>
      </c>
      <c r="P93" s="2">
        <v>46119</v>
      </c>
      <c r="Q93" t="s">
        <v>65</v>
      </c>
      <c r="R93" t="s">
        <v>86</v>
      </c>
      <c r="S93" t="s">
        <v>155</v>
      </c>
      <c r="T93" t="s">
        <v>1924</v>
      </c>
      <c r="U93" t="s">
        <v>214</v>
      </c>
      <c r="V93" t="s">
        <v>57</v>
      </c>
      <c r="X93" t="s">
        <v>1540</v>
      </c>
      <c r="Z93" t="s">
        <v>113</v>
      </c>
      <c r="AA93" t="s">
        <v>159</v>
      </c>
      <c r="AB93" t="s">
        <v>65</v>
      </c>
      <c r="AC93">
        <v>515</v>
      </c>
      <c r="AD93" t="s">
        <v>69</v>
      </c>
      <c r="AE93">
        <v>25</v>
      </c>
      <c r="AF93">
        <v>102</v>
      </c>
      <c r="AP93" t="s">
        <v>93</v>
      </c>
      <c r="AS93" t="s">
        <v>344</v>
      </c>
      <c r="AT93">
        <v>1.75</v>
      </c>
      <c r="AU93">
        <v>22</v>
      </c>
      <c r="AV93">
        <v>17</v>
      </c>
      <c r="AZ93">
        <v>222000</v>
      </c>
    </row>
    <row r="94" spans="1:57" x14ac:dyDescent="0.3">
      <c r="A94" s="7">
        <v>109</v>
      </c>
      <c r="B94" t="s">
        <v>1425</v>
      </c>
      <c r="C94" t="s">
        <v>1426</v>
      </c>
      <c r="D94" t="s">
        <v>1952</v>
      </c>
      <c r="E94" t="s">
        <v>214</v>
      </c>
      <c r="F94" t="s">
        <v>1913</v>
      </c>
      <c r="G94">
        <v>80054</v>
      </c>
      <c r="I94" t="s">
        <v>1600</v>
      </c>
      <c r="J94" t="s">
        <v>1430</v>
      </c>
      <c r="K94" t="s">
        <v>1601</v>
      </c>
      <c r="L94">
        <v>18061393719</v>
      </c>
      <c r="N94" t="s">
        <v>1953</v>
      </c>
      <c r="O94" s="2">
        <v>45758</v>
      </c>
      <c r="P94" s="2">
        <v>46123</v>
      </c>
      <c r="Q94" t="s">
        <v>65</v>
      </c>
      <c r="R94" t="s">
        <v>86</v>
      </c>
      <c r="S94" t="s">
        <v>155</v>
      </c>
      <c r="T94" t="s">
        <v>1954</v>
      </c>
      <c r="U94" t="s">
        <v>214</v>
      </c>
      <c r="V94" t="s">
        <v>57</v>
      </c>
      <c r="X94" t="s">
        <v>1580</v>
      </c>
      <c r="Z94" t="s">
        <v>113</v>
      </c>
      <c r="AA94" t="s">
        <v>159</v>
      </c>
      <c r="AB94" t="s">
        <v>65</v>
      </c>
      <c r="AC94">
        <v>890</v>
      </c>
      <c r="AD94" t="s">
        <v>69</v>
      </c>
      <c r="AE94">
        <v>50</v>
      </c>
      <c r="AF94">
        <v>206</v>
      </c>
      <c r="AK94">
        <v>140</v>
      </c>
      <c r="AP94" t="s">
        <v>93</v>
      </c>
      <c r="AS94" t="s">
        <v>1581</v>
      </c>
      <c r="AT94">
        <v>140</v>
      </c>
      <c r="AU94">
        <v>19</v>
      </c>
      <c r="AV94">
        <v>22</v>
      </c>
      <c r="AZ94">
        <v>222000</v>
      </c>
      <c r="BA94" t="s">
        <v>166</v>
      </c>
    </row>
    <row r="95" spans="1:57" x14ac:dyDescent="0.3">
      <c r="A95" s="7">
        <v>110</v>
      </c>
      <c r="B95" t="s">
        <v>1425</v>
      </c>
      <c r="C95" t="s">
        <v>1426</v>
      </c>
      <c r="D95" t="s">
        <v>1955</v>
      </c>
      <c r="E95" t="s">
        <v>124</v>
      </c>
      <c r="F95" t="s">
        <v>1696</v>
      </c>
      <c r="G95">
        <v>120092</v>
      </c>
      <c r="H95" s="3">
        <v>41122</v>
      </c>
      <c r="I95" t="s">
        <v>1956</v>
      </c>
      <c r="J95" t="s">
        <v>1430</v>
      </c>
      <c r="K95" t="s">
        <v>204</v>
      </c>
      <c r="L95">
        <v>18352821898</v>
      </c>
      <c r="N95" t="s">
        <v>1957</v>
      </c>
      <c r="O95" s="2">
        <v>45579</v>
      </c>
      <c r="P95" s="2">
        <v>46309</v>
      </c>
      <c r="Q95" t="s">
        <v>65</v>
      </c>
      <c r="R95" t="s">
        <v>86</v>
      </c>
      <c r="S95" t="s">
        <v>155</v>
      </c>
      <c r="T95" t="s">
        <v>1958</v>
      </c>
      <c r="U95" t="s">
        <v>124</v>
      </c>
      <c r="V95" t="s">
        <v>57</v>
      </c>
      <c r="Z95" t="s">
        <v>113</v>
      </c>
      <c r="AA95" t="s">
        <v>290</v>
      </c>
      <c r="AB95" t="s">
        <v>65</v>
      </c>
      <c r="AC95">
        <v>600</v>
      </c>
      <c r="AD95" t="s">
        <v>69</v>
      </c>
      <c r="AE95">
        <v>10</v>
      </c>
      <c r="AH95">
        <v>19.04</v>
      </c>
      <c r="AK95">
        <v>7</v>
      </c>
      <c r="AN95">
        <v>15.5</v>
      </c>
      <c r="AP95" t="s">
        <v>163</v>
      </c>
      <c r="AQ95" t="s">
        <v>94</v>
      </c>
      <c r="AS95" t="s">
        <v>436</v>
      </c>
      <c r="AT95">
        <v>7</v>
      </c>
      <c r="AU95">
        <v>9</v>
      </c>
      <c r="AV95">
        <v>15.5</v>
      </c>
      <c r="AW95">
        <v>10</v>
      </c>
      <c r="AZ95">
        <v>222000</v>
      </c>
      <c r="BB95" t="s">
        <v>248</v>
      </c>
      <c r="BD95" t="s">
        <v>385</v>
      </c>
      <c r="BE95" t="s">
        <v>386</v>
      </c>
    </row>
    <row r="96" spans="1:57" x14ac:dyDescent="0.3">
      <c r="A96" s="7">
        <v>111</v>
      </c>
      <c r="B96" t="s">
        <v>1425</v>
      </c>
      <c r="C96" t="s">
        <v>1426</v>
      </c>
      <c r="D96" t="s">
        <v>1959</v>
      </c>
      <c r="E96" t="s">
        <v>214</v>
      </c>
      <c r="F96" t="s">
        <v>974</v>
      </c>
      <c r="G96">
        <v>1450105</v>
      </c>
      <c r="H96" s="3">
        <v>42377</v>
      </c>
      <c r="I96" t="s">
        <v>1539</v>
      </c>
      <c r="J96" t="s">
        <v>1430</v>
      </c>
      <c r="K96" t="s">
        <v>1540</v>
      </c>
      <c r="L96">
        <v>18352821898</v>
      </c>
      <c r="M96">
        <v>18352821898</v>
      </c>
      <c r="N96" t="s">
        <v>1960</v>
      </c>
      <c r="O96" s="2">
        <v>45754</v>
      </c>
      <c r="P96" s="2">
        <v>46119</v>
      </c>
      <c r="Q96" t="s">
        <v>65</v>
      </c>
      <c r="R96" t="s">
        <v>86</v>
      </c>
      <c r="S96" t="s">
        <v>155</v>
      </c>
      <c r="T96" t="s">
        <v>1961</v>
      </c>
      <c r="U96" t="s">
        <v>214</v>
      </c>
      <c r="V96" t="s">
        <v>57</v>
      </c>
      <c r="X96" t="s">
        <v>1540</v>
      </c>
      <c r="Z96" t="s">
        <v>113</v>
      </c>
      <c r="AA96" t="s">
        <v>159</v>
      </c>
      <c r="AB96" t="s">
        <v>65</v>
      </c>
      <c r="AC96">
        <v>1190</v>
      </c>
      <c r="AD96" t="s">
        <v>69</v>
      </c>
      <c r="AE96">
        <v>70</v>
      </c>
      <c r="AF96">
        <v>187</v>
      </c>
      <c r="AK96">
        <v>130</v>
      </c>
      <c r="AP96" t="s">
        <v>163</v>
      </c>
      <c r="AS96" t="s">
        <v>344</v>
      </c>
      <c r="AT96">
        <v>2.3330000000000002</v>
      </c>
      <c r="AU96">
        <v>32</v>
      </c>
      <c r="AV96">
        <v>17</v>
      </c>
      <c r="AZ96">
        <v>222000</v>
      </c>
    </row>
    <row r="97" spans="1:57" x14ac:dyDescent="0.3">
      <c r="A97" s="7">
        <v>112</v>
      </c>
      <c r="B97" t="s">
        <v>1425</v>
      </c>
      <c r="C97" t="s">
        <v>1426</v>
      </c>
      <c r="D97" t="s">
        <v>1962</v>
      </c>
      <c r="E97" t="s">
        <v>214</v>
      </c>
      <c r="F97" t="s">
        <v>341</v>
      </c>
      <c r="G97">
        <v>80233</v>
      </c>
      <c r="I97" t="s">
        <v>1600</v>
      </c>
      <c r="J97" t="s">
        <v>1430</v>
      </c>
      <c r="K97" t="s">
        <v>1601</v>
      </c>
      <c r="L97">
        <v>18061393719</v>
      </c>
      <c r="N97" t="s">
        <v>1963</v>
      </c>
      <c r="O97" s="2">
        <v>45758</v>
      </c>
      <c r="P97" s="2">
        <v>46123</v>
      </c>
      <c r="Q97" t="s">
        <v>65</v>
      </c>
      <c r="R97" t="s">
        <v>86</v>
      </c>
      <c r="S97" t="s">
        <v>155</v>
      </c>
      <c r="T97" t="s">
        <v>1964</v>
      </c>
      <c r="U97" t="s">
        <v>214</v>
      </c>
      <c r="V97" t="s">
        <v>57</v>
      </c>
      <c r="X97" t="s">
        <v>1580</v>
      </c>
      <c r="Z97" t="s">
        <v>113</v>
      </c>
      <c r="AA97" t="s">
        <v>159</v>
      </c>
      <c r="AB97" t="s">
        <v>65</v>
      </c>
      <c r="AC97">
        <v>515</v>
      </c>
      <c r="AD97" t="s">
        <v>69</v>
      </c>
      <c r="AE97">
        <v>25</v>
      </c>
      <c r="AF97">
        <v>102</v>
      </c>
      <c r="AK97">
        <v>105</v>
      </c>
      <c r="AP97" t="s">
        <v>93</v>
      </c>
      <c r="AS97" t="s">
        <v>1581</v>
      </c>
      <c r="AT97">
        <v>105</v>
      </c>
      <c r="AU97">
        <v>18</v>
      </c>
      <c r="AV97">
        <v>20</v>
      </c>
      <c r="AZ97">
        <v>222000</v>
      </c>
      <c r="BA97" t="s">
        <v>166</v>
      </c>
    </row>
    <row r="98" spans="1:57" x14ac:dyDescent="0.3">
      <c r="A98" s="7">
        <v>113</v>
      </c>
      <c r="B98" t="s">
        <v>1425</v>
      </c>
      <c r="C98" t="s">
        <v>1426</v>
      </c>
      <c r="D98" t="s">
        <v>1965</v>
      </c>
      <c r="E98" t="s">
        <v>214</v>
      </c>
      <c r="F98" t="s">
        <v>341</v>
      </c>
      <c r="G98">
        <v>80231</v>
      </c>
      <c r="I98" t="s">
        <v>1600</v>
      </c>
      <c r="J98" t="s">
        <v>1430</v>
      </c>
      <c r="K98" t="s">
        <v>1601</v>
      </c>
      <c r="L98">
        <v>18061393719</v>
      </c>
      <c r="N98" t="s">
        <v>1966</v>
      </c>
      <c r="O98" s="2">
        <v>45758</v>
      </c>
      <c r="P98" s="2">
        <v>46123</v>
      </c>
      <c r="Q98" t="s">
        <v>65</v>
      </c>
      <c r="R98" t="s">
        <v>86</v>
      </c>
      <c r="S98" t="s">
        <v>155</v>
      </c>
      <c r="T98" t="s">
        <v>1967</v>
      </c>
      <c r="U98" t="s">
        <v>214</v>
      </c>
      <c r="V98" t="s">
        <v>57</v>
      </c>
      <c r="X98" t="s">
        <v>1580</v>
      </c>
      <c r="Z98" t="s">
        <v>113</v>
      </c>
      <c r="AA98" t="s">
        <v>159</v>
      </c>
      <c r="AB98" t="s">
        <v>65</v>
      </c>
      <c r="AC98">
        <v>515</v>
      </c>
      <c r="AD98" t="s">
        <v>69</v>
      </c>
      <c r="AE98">
        <v>25</v>
      </c>
      <c r="AF98">
        <v>102</v>
      </c>
      <c r="AK98">
        <v>105</v>
      </c>
      <c r="AP98" t="s">
        <v>93</v>
      </c>
      <c r="AS98" t="s">
        <v>1581</v>
      </c>
      <c r="AT98">
        <v>105</v>
      </c>
      <c r="AU98">
        <v>18</v>
      </c>
      <c r="AV98">
        <v>20</v>
      </c>
      <c r="AZ98">
        <v>222000</v>
      </c>
      <c r="BA98" t="s">
        <v>166</v>
      </c>
    </row>
    <row r="99" spans="1:57" x14ac:dyDescent="0.3">
      <c r="A99" s="7">
        <v>114</v>
      </c>
      <c r="B99" t="s">
        <v>1425</v>
      </c>
      <c r="C99" t="s">
        <v>1426</v>
      </c>
      <c r="D99" t="s">
        <v>1968</v>
      </c>
      <c r="E99" t="s">
        <v>557</v>
      </c>
      <c r="F99" t="s">
        <v>1969</v>
      </c>
      <c r="G99" t="s">
        <v>1970</v>
      </c>
      <c r="H99" s="3">
        <v>41747</v>
      </c>
      <c r="I99" t="s">
        <v>1600</v>
      </c>
      <c r="J99" t="s">
        <v>1430</v>
      </c>
      <c r="K99" t="s">
        <v>1601</v>
      </c>
      <c r="L99">
        <v>18061393719</v>
      </c>
      <c r="N99" t="s">
        <v>1971</v>
      </c>
      <c r="O99" s="2">
        <v>45758</v>
      </c>
      <c r="P99" s="2">
        <v>46123</v>
      </c>
      <c r="Q99" t="s">
        <v>65</v>
      </c>
      <c r="R99" t="s">
        <v>86</v>
      </c>
      <c r="S99" t="s">
        <v>155</v>
      </c>
      <c r="T99" t="s">
        <v>1972</v>
      </c>
      <c r="U99" t="s">
        <v>557</v>
      </c>
      <c r="V99" t="s">
        <v>57</v>
      </c>
      <c r="X99" t="s">
        <v>1580</v>
      </c>
      <c r="Z99" t="s">
        <v>113</v>
      </c>
      <c r="AA99" t="s">
        <v>159</v>
      </c>
      <c r="AB99" t="s">
        <v>65</v>
      </c>
      <c r="AC99">
        <v>815</v>
      </c>
      <c r="AD99" t="s">
        <v>69</v>
      </c>
      <c r="AE99">
        <v>45</v>
      </c>
      <c r="AF99" t="s">
        <v>83</v>
      </c>
      <c r="AK99">
        <v>0.4</v>
      </c>
      <c r="AP99" t="s">
        <v>163</v>
      </c>
      <c r="AS99" t="s">
        <v>1973</v>
      </c>
      <c r="AT99" t="s">
        <v>1899</v>
      </c>
      <c r="AU99">
        <v>15.1</v>
      </c>
      <c r="AZ99">
        <v>222000</v>
      </c>
      <c r="BA99" t="s">
        <v>166</v>
      </c>
    </row>
    <row r="100" spans="1:57" x14ac:dyDescent="0.3">
      <c r="A100" s="7">
        <v>115</v>
      </c>
      <c r="B100" t="s">
        <v>1425</v>
      </c>
      <c r="C100" t="s">
        <v>1426</v>
      </c>
      <c r="D100" t="s">
        <v>1974</v>
      </c>
      <c r="E100" t="s">
        <v>62</v>
      </c>
      <c r="F100" t="s">
        <v>1975</v>
      </c>
      <c r="G100" t="s">
        <v>1976</v>
      </c>
      <c r="H100" s="3">
        <v>42353</v>
      </c>
      <c r="I100" t="s">
        <v>269</v>
      </c>
      <c r="J100" t="s">
        <v>1430</v>
      </c>
      <c r="K100" t="s">
        <v>204</v>
      </c>
      <c r="L100">
        <v>18761348365</v>
      </c>
      <c r="N100">
        <v>16</v>
      </c>
      <c r="O100" s="2">
        <v>45309</v>
      </c>
      <c r="P100" s="2">
        <v>46040</v>
      </c>
      <c r="Q100" t="s">
        <v>65</v>
      </c>
      <c r="R100" t="s">
        <v>86</v>
      </c>
      <c r="S100" t="s">
        <v>87</v>
      </c>
      <c r="T100" t="s">
        <v>1977</v>
      </c>
      <c r="U100" t="s">
        <v>67</v>
      </c>
      <c r="V100" t="s">
        <v>57</v>
      </c>
      <c r="X100" t="s">
        <v>1563</v>
      </c>
      <c r="Z100" t="s">
        <v>113</v>
      </c>
      <c r="AA100" t="s">
        <v>159</v>
      </c>
      <c r="AB100" t="s">
        <v>65</v>
      </c>
      <c r="AC100">
        <v>1190</v>
      </c>
      <c r="AD100" t="s">
        <v>69</v>
      </c>
      <c r="AE100">
        <v>50</v>
      </c>
      <c r="AF100">
        <v>1720</v>
      </c>
      <c r="AP100" t="s">
        <v>163</v>
      </c>
      <c r="AS100" t="s">
        <v>70</v>
      </c>
      <c r="AT100" t="s">
        <v>1978</v>
      </c>
      <c r="AU100">
        <v>30</v>
      </c>
      <c r="AV100">
        <v>27</v>
      </c>
      <c r="AW100">
        <v>50</v>
      </c>
      <c r="AZ100">
        <v>222000</v>
      </c>
    </row>
    <row r="101" spans="1:57" x14ac:dyDescent="0.3">
      <c r="A101" s="7">
        <v>116</v>
      </c>
      <c r="B101" t="s">
        <v>1425</v>
      </c>
      <c r="C101" t="s">
        <v>1426</v>
      </c>
      <c r="D101" t="s">
        <v>1979</v>
      </c>
      <c r="E101" t="s">
        <v>62</v>
      </c>
      <c r="F101" t="s">
        <v>1975</v>
      </c>
      <c r="G101" t="s">
        <v>1980</v>
      </c>
      <c r="H101" s="5">
        <v>42339</v>
      </c>
      <c r="I101" t="s">
        <v>269</v>
      </c>
      <c r="J101" t="s">
        <v>1430</v>
      </c>
      <c r="K101" t="s">
        <v>204</v>
      </c>
      <c r="L101">
        <v>18761348365</v>
      </c>
      <c r="N101">
        <v>15</v>
      </c>
      <c r="O101" s="2">
        <v>45309</v>
      </c>
      <c r="P101" s="2">
        <v>46040</v>
      </c>
      <c r="Q101" t="s">
        <v>65</v>
      </c>
      <c r="R101" t="s">
        <v>86</v>
      </c>
      <c r="S101" t="s">
        <v>87</v>
      </c>
      <c r="T101" t="s">
        <v>1981</v>
      </c>
      <c r="U101" t="s">
        <v>67</v>
      </c>
      <c r="V101" t="s">
        <v>57</v>
      </c>
      <c r="X101" t="s">
        <v>1563</v>
      </c>
      <c r="Z101" t="s">
        <v>113</v>
      </c>
      <c r="AA101" t="s">
        <v>159</v>
      </c>
      <c r="AB101" t="s">
        <v>65</v>
      </c>
      <c r="AC101">
        <v>1190</v>
      </c>
      <c r="AD101" t="s">
        <v>69</v>
      </c>
      <c r="AE101">
        <v>50</v>
      </c>
      <c r="AF101">
        <v>1720</v>
      </c>
      <c r="AP101" t="s">
        <v>163</v>
      </c>
      <c r="AS101" t="s">
        <v>70</v>
      </c>
      <c r="AT101">
        <v>50</v>
      </c>
      <c r="AU101">
        <v>20</v>
      </c>
      <c r="AV101">
        <v>27</v>
      </c>
      <c r="AW101">
        <v>50</v>
      </c>
      <c r="AZ101">
        <v>222000</v>
      </c>
    </row>
    <row r="102" spans="1:57" x14ac:dyDescent="0.3">
      <c r="A102" s="7">
        <v>117</v>
      </c>
      <c r="B102" t="s">
        <v>1425</v>
      </c>
      <c r="C102" t="s">
        <v>1426</v>
      </c>
      <c r="D102" t="s">
        <v>1982</v>
      </c>
      <c r="E102" t="s">
        <v>1119</v>
      </c>
      <c r="F102" t="s">
        <v>1983</v>
      </c>
      <c r="G102" t="s">
        <v>1984</v>
      </c>
      <c r="H102" s="3">
        <v>42292</v>
      </c>
      <c r="I102" t="s">
        <v>269</v>
      </c>
      <c r="J102" t="s">
        <v>1430</v>
      </c>
      <c r="L102">
        <v>18761348365</v>
      </c>
      <c r="N102" t="s">
        <v>83</v>
      </c>
      <c r="O102" s="2">
        <v>45874</v>
      </c>
      <c r="P102" s="2">
        <v>46604</v>
      </c>
      <c r="Q102" t="s">
        <v>65</v>
      </c>
      <c r="R102" t="s">
        <v>86</v>
      </c>
      <c r="S102" t="s">
        <v>155</v>
      </c>
      <c r="T102" t="s">
        <v>1985</v>
      </c>
      <c r="U102" t="s">
        <v>1119</v>
      </c>
      <c r="V102" t="s">
        <v>57</v>
      </c>
      <c r="X102" t="s">
        <v>1986</v>
      </c>
      <c r="Y102" t="s">
        <v>1986</v>
      </c>
      <c r="AA102" t="s">
        <v>159</v>
      </c>
      <c r="AB102" t="s">
        <v>65</v>
      </c>
      <c r="AC102">
        <v>800</v>
      </c>
      <c r="AD102" t="s">
        <v>69</v>
      </c>
      <c r="AE102">
        <v>500</v>
      </c>
      <c r="AF102">
        <v>275</v>
      </c>
      <c r="AP102" t="s">
        <v>60</v>
      </c>
      <c r="AS102" t="s">
        <v>1987</v>
      </c>
      <c r="AT102" t="s">
        <v>1988</v>
      </c>
      <c r="AU102" t="s">
        <v>1989</v>
      </c>
      <c r="AV102">
        <v>28</v>
      </c>
      <c r="AW102" t="s">
        <v>1990</v>
      </c>
      <c r="AZ102">
        <v>222000</v>
      </c>
    </row>
    <row r="103" spans="1:57" x14ac:dyDescent="0.3">
      <c r="A103" s="7">
        <v>118</v>
      </c>
      <c r="B103" t="s">
        <v>1425</v>
      </c>
      <c r="C103" t="s">
        <v>1426</v>
      </c>
      <c r="D103" t="s">
        <v>1991</v>
      </c>
      <c r="E103" t="s">
        <v>214</v>
      </c>
      <c r="F103" t="s">
        <v>1992</v>
      </c>
      <c r="G103">
        <v>1420102</v>
      </c>
      <c r="I103" t="s">
        <v>1539</v>
      </c>
      <c r="J103" t="s">
        <v>1430</v>
      </c>
      <c r="K103" t="s">
        <v>1540</v>
      </c>
      <c r="L103">
        <v>18352821898</v>
      </c>
      <c r="N103" t="s">
        <v>1993</v>
      </c>
      <c r="O103" s="2">
        <v>45754</v>
      </c>
      <c r="P103" s="2">
        <v>46119</v>
      </c>
      <c r="Q103" t="s">
        <v>65</v>
      </c>
      <c r="R103" t="s">
        <v>86</v>
      </c>
      <c r="S103" t="s">
        <v>155</v>
      </c>
      <c r="T103" t="s">
        <v>1994</v>
      </c>
      <c r="U103" t="s">
        <v>214</v>
      </c>
      <c r="V103" t="s">
        <v>57</v>
      </c>
      <c r="X103" t="s">
        <v>1540</v>
      </c>
      <c r="Z103" t="s">
        <v>113</v>
      </c>
      <c r="AA103" t="s">
        <v>159</v>
      </c>
      <c r="AB103" t="s">
        <v>65</v>
      </c>
      <c r="AC103">
        <v>1115</v>
      </c>
      <c r="AD103" t="s">
        <v>69</v>
      </c>
      <c r="AE103">
        <v>65</v>
      </c>
      <c r="AF103">
        <v>102</v>
      </c>
      <c r="AP103" t="s">
        <v>93</v>
      </c>
      <c r="AS103" t="s">
        <v>344</v>
      </c>
      <c r="AT103">
        <v>1.75</v>
      </c>
      <c r="AU103">
        <v>17</v>
      </c>
      <c r="AV103">
        <v>17</v>
      </c>
      <c r="AZ103">
        <v>222000</v>
      </c>
    </row>
    <row r="104" spans="1:57" x14ac:dyDescent="0.3">
      <c r="A104" s="7">
        <v>119</v>
      </c>
      <c r="B104" t="s">
        <v>1425</v>
      </c>
      <c r="C104" t="s">
        <v>1426</v>
      </c>
      <c r="D104" t="s">
        <v>2001</v>
      </c>
      <c r="E104" t="s">
        <v>214</v>
      </c>
      <c r="F104" t="s">
        <v>2002</v>
      </c>
      <c r="G104">
        <v>759101048</v>
      </c>
      <c r="H104" s="3">
        <v>41339</v>
      </c>
      <c r="I104" t="s">
        <v>216</v>
      </c>
      <c r="J104" t="s">
        <v>1430</v>
      </c>
      <c r="K104" t="s">
        <v>204</v>
      </c>
      <c r="L104">
        <v>18761348365</v>
      </c>
      <c r="N104" t="s">
        <v>2003</v>
      </c>
      <c r="O104" s="2">
        <v>45874</v>
      </c>
      <c r="P104" s="2">
        <v>46239</v>
      </c>
      <c r="Q104" t="s">
        <v>65</v>
      </c>
      <c r="R104" t="s">
        <v>86</v>
      </c>
      <c r="S104" t="s">
        <v>155</v>
      </c>
      <c r="T104" t="s">
        <v>2004</v>
      </c>
      <c r="U104" t="s">
        <v>2005</v>
      </c>
      <c r="V104" t="s">
        <v>57</v>
      </c>
      <c r="Z104" t="s">
        <v>113</v>
      </c>
      <c r="AA104" t="s">
        <v>159</v>
      </c>
      <c r="AB104" t="s">
        <v>65</v>
      </c>
      <c r="AC104">
        <v>965</v>
      </c>
      <c r="AD104" t="s">
        <v>69</v>
      </c>
      <c r="AE104">
        <v>55</v>
      </c>
      <c r="AF104">
        <v>220</v>
      </c>
      <c r="AK104">
        <v>150</v>
      </c>
      <c r="AN104">
        <v>27</v>
      </c>
      <c r="AP104" t="s">
        <v>163</v>
      </c>
      <c r="AS104" t="s">
        <v>2006</v>
      </c>
      <c r="AT104">
        <v>150</v>
      </c>
      <c r="AU104">
        <v>24</v>
      </c>
      <c r="AV104">
        <v>27</v>
      </c>
      <c r="AW104">
        <v>55</v>
      </c>
      <c r="AZ104">
        <v>222000</v>
      </c>
    </row>
    <row r="105" spans="1:57" x14ac:dyDescent="0.3">
      <c r="A105" s="7">
        <v>120</v>
      </c>
      <c r="B105" t="s">
        <v>1425</v>
      </c>
      <c r="C105" t="s">
        <v>1426</v>
      </c>
      <c r="D105" t="s">
        <v>2007</v>
      </c>
      <c r="E105" t="s">
        <v>214</v>
      </c>
      <c r="F105" t="s">
        <v>1913</v>
      </c>
      <c r="G105">
        <v>1310217</v>
      </c>
      <c r="H105" s="3">
        <v>42283</v>
      </c>
      <c r="I105" t="s">
        <v>1600</v>
      </c>
      <c r="J105" t="s">
        <v>1430</v>
      </c>
      <c r="K105" t="s">
        <v>1601</v>
      </c>
      <c r="L105">
        <v>18061393719</v>
      </c>
      <c r="M105">
        <v>18061393719</v>
      </c>
      <c r="N105" t="s">
        <v>2008</v>
      </c>
      <c r="O105" s="2">
        <v>45758</v>
      </c>
      <c r="P105" s="2">
        <v>46123</v>
      </c>
      <c r="Q105" t="s">
        <v>65</v>
      </c>
      <c r="R105" t="s">
        <v>86</v>
      </c>
      <c r="S105" t="s">
        <v>155</v>
      </c>
      <c r="T105" t="s">
        <v>2009</v>
      </c>
      <c r="U105" t="s">
        <v>214</v>
      </c>
      <c r="V105" t="s">
        <v>57</v>
      </c>
      <c r="Z105" t="s">
        <v>113</v>
      </c>
      <c r="AA105" t="s">
        <v>159</v>
      </c>
      <c r="AB105" t="s">
        <v>65</v>
      </c>
      <c r="AC105">
        <v>890</v>
      </c>
      <c r="AD105" t="s">
        <v>69</v>
      </c>
      <c r="AE105">
        <v>50</v>
      </c>
      <c r="AF105">
        <v>220</v>
      </c>
      <c r="AK105" t="s">
        <v>2010</v>
      </c>
      <c r="AN105">
        <v>27</v>
      </c>
      <c r="AP105" t="s">
        <v>163</v>
      </c>
      <c r="AS105" t="s">
        <v>344</v>
      </c>
      <c r="AT105">
        <v>150</v>
      </c>
      <c r="AU105">
        <v>24</v>
      </c>
      <c r="AV105">
        <v>27</v>
      </c>
      <c r="AW105">
        <v>50</v>
      </c>
      <c r="AZ105">
        <v>222000</v>
      </c>
      <c r="BA105" t="s">
        <v>166</v>
      </c>
    </row>
    <row r="106" spans="1:57" x14ac:dyDescent="0.3">
      <c r="A106" s="7">
        <v>121</v>
      </c>
      <c r="B106" t="s">
        <v>1425</v>
      </c>
      <c r="C106" t="s">
        <v>1426</v>
      </c>
      <c r="D106" t="s">
        <v>2011</v>
      </c>
      <c r="E106" t="s">
        <v>124</v>
      </c>
      <c r="F106" t="s">
        <v>2012</v>
      </c>
      <c r="G106">
        <v>13031427</v>
      </c>
      <c r="H106" s="3">
        <v>41339</v>
      </c>
      <c r="I106" t="s">
        <v>2013</v>
      </c>
      <c r="J106" t="s">
        <v>1430</v>
      </c>
      <c r="K106" t="s">
        <v>204</v>
      </c>
      <c r="L106">
        <v>18761348365</v>
      </c>
      <c r="N106" t="s">
        <v>83</v>
      </c>
      <c r="O106" s="2">
        <v>45874</v>
      </c>
      <c r="P106" s="2">
        <v>46604</v>
      </c>
      <c r="Q106" t="s">
        <v>65</v>
      </c>
      <c r="R106" t="s">
        <v>86</v>
      </c>
      <c r="S106" t="s">
        <v>155</v>
      </c>
      <c r="T106" t="s">
        <v>2014</v>
      </c>
      <c r="U106" t="s">
        <v>124</v>
      </c>
      <c r="V106" t="s">
        <v>57</v>
      </c>
      <c r="Z106" t="s">
        <v>113</v>
      </c>
      <c r="AA106" t="s">
        <v>159</v>
      </c>
      <c r="AB106" t="s">
        <v>65</v>
      </c>
      <c r="AC106">
        <v>550</v>
      </c>
      <c r="AD106" t="s">
        <v>69</v>
      </c>
      <c r="AE106">
        <v>5</v>
      </c>
      <c r="AF106">
        <v>9.9</v>
      </c>
      <c r="AH106">
        <v>11.78</v>
      </c>
      <c r="AK106">
        <v>8</v>
      </c>
      <c r="AP106" t="s">
        <v>163</v>
      </c>
      <c r="AQ106" t="s">
        <v>94</v>
      </c>
      <c r="AS106" t="s">
        <v>1278</v>
      </c>
      <c r="AT106">
        <v>8</v>
      </c>
      <c r="AU106">
        <v>6</v>
      </c>
      <c r="AV106">
        <v>15</v>
      </c>
      <c r="AW106">
        <v>5</v>
      </c>
      <c r="AZ106">
        <v>222000</v>
      </c>
      <c r="BB106" t="s">
        <v>248</v>
      </c>
      <c r="BD106" t="s">
        <v>385</v>
      </c>
      <c r="BE106" t="s">
        <v>250</v>
      </c>
    </row>
    <row r="107" spans="1:57" x14ac:dyDescent="0.3">
      <c r="A107" s="7">
        <v>122</v>
      </c>
      <c r="B107" t="s">
        <v>1425</v>
      </c>
      <c r="C107" t="s">
        <v>1426</v>
      </c>
      <c r="D107" t="s">
        <v>2015</v>
      </c>
      <c r="E107" t="s">
        <v>62</v>
      </c>
      <c r="F107" t="s">
        <v>2016</v>
      </c>
      <c r="G107" t="s">
        <v>2017</v>
      </c>
      <c r="H107" s="3">
        <v>41690</v>
      </c>
      <c r="I107" t="s">
        <v>2018</v>
      </c>
      <c r="J107" t="s">
        <v>1430</v>
      </c>
      <c r="K107" t="s">
        <v>1540</v>
      </c>
      <c r="L107">
        <v>18352821898</v>
      </c>
      <c r="N107" t="s">
        <v>2019</v>
      </c>
      <c r="O107" s="2">
        <v>45393</v>
      </c>
      <c r="P107" s="2">
        <v>46122</v>
      </c>
      <c r="Q107" t="s">
        <v>65</v>
      </c>
      <c r="R107" t="s">
        <v>86</v>
      </c>
      <c r="S107" t="s">
        <v>87</v>
      </c>
      <c r="T107" t="s">
        <v>2020</v>
      </c>
      <c r="U107" t="s">
        <v>67</v>
      </c>
      <c r="V107" t="s">
        <v>57</v>
      </c>
      <c r="X107" t="s">
        <v>204</v>
      </c>
      <c r="Z107" t="s">
        <v>113</v>
      </c>
      <c r="AA107" t="s">
        <v>159</v>
      </c>
      <c r="AB107" t="s">
        <v>65</v>
      </c>
      <c r="AC107">
        <v>930</v>
      </c>
      <c r="AD107" t="s">
        <v>69</v>
      </c>
      <c r="AE107">
        <v>25</v>
      </c>
      <c r="AF107">
        <v>857</v>
      </c>
      <c r="AP107" t="s">
        <v>93</v>
      </c>
      <c r="AS107" t="s">
        <v>323</v>
      </c>
      <c r="AT107" t="s">
        <v>1300</v>
      </c>
      <c r="AU107">
        <v>28</v>
      </c>
      <c r="AV107">
        <v>27</v>
      </c>
      <c r="AW107">
        <v>25</v>
      </c>
      <c r="AZ107">
        <v>222000</v>
      </c>
    </row>
    <row r="108" spans="1:57" x14ac:dyDescent="0.3">
      <c r="A108" s="7">
        <v>123</v>
      </c>
      <c r="B108" t="s">
        <v>1425</v>
      </c>
      <c r="C108" t="s">
        <v>1426</v>
      </c>
      <c r="D108" t="s">
        <v>2021</v>
      </c>
      <c r="E108" t="s">
        <v>214</v>
      </c>
      <c r="F108" t="s">
        <v>1913</v>
      </c>
      <c r="G108">
        <v>1320118</v>
      </c>
      <c r="H108" s="3">
        <v>41436</v>
      </c>
      <c r="I108" t="s">
        <v>1539</v>
      </c>
      <c r="J108" t="s">
        <v>1430</v>
      </c>
      <c r="K108" t="s">
        <v>1540</v>
      </c>
      <c r="L108">
        <v>18352821898</v>
      </c>
      <c r="M108">
        <v>18352821898</v>
      </c>
      <c r="N108" t="s">
        <v>2022</v>
      </c>
      <c r="O108" s="2">
        <v>45754</v>
      </c>
      <c r="P108" s="2">
        <v>46119</v>
      </c>
      <c r="Q108" t="s">
        <v>65</v>
      </c>
      <c r="R108" t="s">
        <v>86</v>
      </c>
      <c r="S108" t="s">
        <v>155</v>
      </c>
      <c r="T108" t="s">
        <v>2023</v>
      </c>
      <c r="U108" t="s">
        <v>214</v>
      </c>
      <c r="V108" t="s">
        <v>57</v>
      </c>
      <c r="X108" t="s">
        <v>1540</v>
      </c>
      <c r="Z108" t="s">
        <v>113</v>
      </c>
      <c r="AA108" t="s">
        <v>159</v>
      </c>
      <c r="AB108" t="s">
        <v>65</v>
      </c>
      <c r="AC108">
        <v>890</v>
      </c>
      <c r="AD108" t="s">
        <v>69</v>
      </c>
      <c r="AE108">
        <v>50</v>
      </c>
      <c r="AF108">
        <v>200</v>
      </c>
      <c r="AK108">
        <v>2.3330000000000002</v>
      </c>
      <c r="AP108" t="s">
        <v>93</v>
      </c>
      <c r="AS108" t="s">
        <v>344</v>
      </c>
      <c r="AT108">
        <v>2.3330000000000002</v>
      </c>
      <c r="AU108">
        <v>28</v>
      </c>
      <c r="AV108">
        <v>17</v>
      </c>
      <c r="AW108">
        <v>50</v>
      </c>
      <c r="AZ108">
        <v>222000</v>
      </c>
    </row>
    <row r="109" spans="1:57" x14ac:dyDescent="0.3">
      <c r="A109" s="7">
        <v>124</v>
      </c>
      <c r="B109" t="s">
        <v>1425</v>
      </c>
      <c r="C109" t="s">
        <v>1426</v>
      </c>
      <c r="D109" t="s">
        <v>2024</v>
      </c>
      <c r="E109" t="s">
        <v>214</v>
      </c>
      <c r="F109" t="s">
        <v>1992</v>
      </c>
      <c r="G109">
        <v>1420101</v>
      </c>
      <c r="I109" t="s">
        <v>1600</v>
      </c>
      <c r="J109" t="s">
        <v>1430</v>
      </c>
      <c r="K109" t="s">
        <v>1601</v>
      </c>
      <c r="L109">
        <v>18061393719</v>
      </c>
      <c r="M109">
        <v>18061393719</v>
      </c>
      <c r="N109" t="s">
        <v>2025</v>
      </c>
      <c r="O109" s="2">
        <v>45758</v>
      </c>
      <c r="P109" s="2">
        <v>46123</v>
      </c>
      <c r="Q109" t="s">
        <v>65</v>
      </c>
      <c r="R109" t="s">
        <v>86</v>
      </c>
      <c r="S109" t="s">
        <v>155</v>
      </c>
      <c r="T109" t="s">
        <v>2026</v>
      </c>
      <c r="U109" t="s">
        <v>214</v>
      </c>
      <c r="V109" t="s">
        <v>57</v>
      </c>
      <c r="X109" t="s">
        <v>1580</v>
      </c>
      <c r="Z109" t="s">
        <v>113</v>
      </c>
      <c r="AA109" t="s">
        <v>159</v>
      </c>
      <c r="AB109" t="s">
        <v>65</v>
      </c>
      <c r="AC109">
        <v>1115</v>
      </c>
      <c r="AD109" t="s">
        <v>69</v>
      </c>
      <c r="AE109">
        <v>65</v>
      </c>
      <c r="AF109">
        <v>265</v>
      </c>
      <c r="AK109">
        <v>2.25</v>
      </c>
      <c r="AP109" t="s">
        <v>93</v>
      </c>
      <c r="AS109" t="s">
        <v>344</v>
      </c>
      <c r="AT109">
        <v>2.25</v>
      </c>
      <c r="AU109">
        <v>19.5</v>
      </c>
      <c r="AV109">
        <v>22</v>
      </c>
      <c r="AW109">
        <v>65</v>
      </c>
      <c r="AZ109">
        <v>222000</v>
      </c>
      <c r="BA109" t="s">
        <v>166</v>
      </c>
    </row>
    <row r="110" spans="1:57" x14ac:dyDescent="0.3">
      <c r="A110" s="7">
        <v>125</v>
      </c>
      <c r="B110" t="s">
        <v>1425</v>
      </c>
      <c r="C110" t="s">
        <v>1426</v>
      </c>
      <c r="D110" t="s">
        <v>2027</v>
      </c>
      <c r="E110" t="s">
        <v>214</v>
      </c>
      <c r="F110" t="s">
        <v>1307</v>
      </c>
      <c r="G110">
        <v>1030125</v>
      </c>
      <c r="H110" s="5">
        <v>41334</v>
      </c>
      <c r="I110" t="s">
        <v>1600</v>
      </c>
      <c r="J110" t="s">
        <v>1430</v>
      </c>
      <c r="K110" t="s">
        <v>1467</v>
      </c>
      <c r="L110">
        <v>18360636461</v>
      </c>
      <c r="M110">
        <v>18061393719</v>
      </c>
      <c r="N110" t="s">
        <v>2028</v>
      </c>
      <c r="O110" s="2">
        <v>45758</v>
      </c>
      <c r="P110" s="2">
        <v>46123</v>
      </c>
      <c r="Q110" t="s">
        <v>65</v>
      </c>
      <c r="R110" t="s">
        <v>86</v>
      </c>
      <c r="S110" t="s">
        <v>155</v>
      </c>
      <c r="T110" t="s">
        <v>2029</v>
      </c>
      <c r="U110" t="s">
        <v>214</v>
      </c>
      <c r="V110" t="s">
        <v>57</v>
      </c>
      <c r="X110" t="s">
        <v>1580</v>
      </c>
      <c r="Z110" t="s">
        <v>113</v>
      </c>
      <c r="AA110" t="s">
        <v>159</v>
      </c>
      <c r="AB110" t="s">
        <v>65</v>
      </c>
      <c r="AC110">
        <v>515</v>
      </c>
      <c r="AD110" t="s">
        <v>69</v>
      </c>
      <c r="AE110">
        <v>25</v>
      </c>
      <c r="AF110">
        <v>102</v>
      </c>
      <c r="AK110">
        <v>1.75</v>
      </c>
      <c r="AP110" t="s">
        <v>93</v>
      </c>
      <c r="AS110" t="s">
        <v>344</v>
      </c>
      <c r="AT110">
        <v>1.75</v>
      </c>
      <c r="AU110">
        <v>18</v>
      </c>
      <c r="AV110">
        <v>20</v>
      </c>
      <c r="AW110">
        <v>25</v>
      </c>
      <c r="AZ110">
        <v>222042</v>
      </c>
      <c r="BA110" t="s">
        <v>166</v>
      </c>
    </row>
    <row r="111" spans="1:57" x14ac:dyDescent="0.3">
      <c r="A111" s="7">
        <v>126</v>
      </c>
      <c r="B111" t="s">
        <v>1425</v>
      </c>
      <c r="C111" t="s">
        <v>1426</v>
      </c>
      <c r="D111" t="s">
        <v>2030</v>
      </c>
      <c r="E111" t="s">
        <v>214</v>
      </c>
      <c r="F111" t="s">
        <v>1307</v>
      </c>
      <c r="G111">
        <v>1030119</v>
      </c>
      <c r="I111" t="s">
        <v>1600</v>
      </c>
      <c r="J111" t="s">
        <v>1430</v>
      </c>
      <c r="K111" t="s">
        <v>1601</v>
      </c>
      <c r="L111">
        <v>18061393719</v>
      </c>
      <c r="M111">
        <v>18061393719</v>
      </c>
      <c r="N111" t="s">
        <v>2031</v>
      </c>
      <c r="O111" s="2">
        <v>45758</v>
      </c>
      <c r="P111" s="2">
        <v>46123</v>
      </c>
      <c r="Q111" t="s">
        <v>65</v>
      </c>
      <c r="R111" t="s">
        <v>86</v>
      </c>
      <c r="S111" t="s">
        <v>155</v>
      </c>
      <c r="T111" t="s">
        <v>2032</v>
      </c>
      <c r="U111" t="s">
        <v>214</v>
      </c>
      <c r="V111" t="s">
        <v>57</v>
      </c>
      <c r="X111" t="s">
        <v>1580</v>
      </c>
      <c r="Z111" t="s">
        <v>113</v>
      </c>
      <c r="AA111" t="s">
        <v>159</v>
      </c>
      <c r="AB111" t="s">
        <v>65</v>
      </c>
      <c r="AC111">
        <v>515</v>
      </c>
      <c r="AD111" t="s">
        <v>69</v>
      </c>
      <c r="AE111">
        <v>25</v>
      </c>
      <c r="AF111">
        <v>102</v>
      </c>
      <c r="AK111">
        <v>1.75</v>
      </c>
      <c r="AP111" t="s">
        <v>93</v>
      </c>
      <c r="AS111" t="s">
        <v>344</v>
      </c>
      <c r="AT111">
        <v>1.75</v>
      </c>
      <c r="AU111">
        <v>18</v>
      </c>
      <c r="AV111">
        <v>20</v>
      </c>
      <c r="AW111">
        <v>25</v>
      </c>
      <c r="AZ111">
        <v>222000</v>
      </c>
      <c r="BA111" t="s">
        <v>166</v>
      </c>
    </row>
    <row r="112" spans="1:57" x14ac:dyDescent="0.3">
      <c r="A112" s="7">
        <v>127</v>
      </c>
      <c r="B112" t="s">
        <v>1425</v>
      </c>
      <c r="C112" t="s">
        <v>1426</v>
      </c>
      <c r="D112" t="s">
        <v>2033</v>
      </c>
      <c r="E112" t="s">
        <v>214</v>
      </c>
      <c r="F112" t="s">
        <v>341</v>
      </c>
      <c r="G112">
        <v>1010408</v>
      </c>
      <c r="I112" t="s">
        <v>1600</v>
      </c>
      <c r="J112" t="s">
        <v>1430</v>
      </c>
      <c r="K112" t="s">
        <v>1601</v>
      </c>
      <c r="L112">
        <v>18061393719</v>
      </c>
      <c r="M112">
        <v>18061393719</v>
      </c>
      <c r="N112" t="s">
        <v>2034</v>
      </c>
      <c r="O112" s="2">
        <v>45758</v>
      </c>
      <c r="P112" s="2">
        <v>46123</v>
      </c>
      <c r="Q112" t="s">
        <v>65</v>
      </c>
      <c r="R112" t="s">
        <v>86</v>
      </c>
      <c r="S112" t="s">
        <v>155</v>
      </c>
      <c r="T112" t="s">
        <v>2035</v>
      </c>
      <c r="U112" t="s">
        <v>214</v>
      </c>
      <c r="V112" t="s">
        <v>57</v>
      </c>
      <c r="X112" t="s">
        <v>1580</v>
      </c>
      <c r="Z112" t="s">
        <v>113</v>
      </c>
      <c r="AA112" t="s">
        <v>159</v>
      </c>
      <c r="AB112" t="s">
        <v>65</v>
      </c>
      <c r="AC112">
        <v>515</v>
      </c>
      <c r="AD112" t="s">
        <v>69</v>
      </c>
      <c r="AE112">
        <v>25</v>
      </c>
      <c r="AF112">
        <v>102</v>
      </c>
      <c r="AK112">
        <v>1.75</v>
      </c>
      <c r="AP112" t="s">
        <v>93</v>
      </c>
      <c r="AS112" t="s">
        <v>344</v>
      </c>
      <c r="AT112">
        <v>1.75</v>
      </c>
      <c r="AU112">
        <v>18</v>
      </c>
      <c r="AV112">
        <v>20</v>
      </c>
      <c r="AW112">
        <v>25</v>
      </c>
      <c r="AZ112">
        <v>222000</v>
      </c>
      <c r="BA112" t="s">
        <v>166</v>
      </c>
    </row>
    <row r="113" spans="1:53" x14ac:dyDescent="0.3">
      <c r="A113" s="7">
        <v>128</v>
      </c>
      <c r="B113" t="s">
        <v>1425</v>
      </c>
      <c r="C113" t="s">
        <v>1426</v>
      </c>
      <c r="D113" t="s">
        <v>2036</v>
      </c>
      <c r="E113" t="s">
        <v>62</v>
      </c>
      <c r="F113" t="s">
        <v>2037</v>
      </c>
      <c r="G113" t="s">
        <v>2038</v>
      </c>
      <c r="H113" s="3">
        <v>40522</v>
      </c>
      <c r="I113" t="s">
        <v>2039</v>
      </c>
      <c r="J113" t="s">
        <v>1430</v>
      </c>
      <c r="K113" t="s">
        <v>190</v>
      </c>
      <c r="L113">
        <v>15022369739</v>
      </c>
      <c r="M113">
        <v>15022369739</v>
      </c>
      <c r="N113" t="s">
        <v>2040</v>
      </c>
      <c r="O113" s="2">
        <v>45419</v>
      </c>
      <c r="P113" s="2">
        <v>46148</v>
      </c>
      <c r="Q113" t="s">
        <v>65</v>
      </c>
      <c r="R113" t="s">
        <v>86</v>
      </c>
      <c r="S113" t="s">
        <v>195</v>
      </c>
      <c r="T113" t="s">
        <v>2041</v>
      </c>
      <c r="U113" t="s">
        <v>2042</v>
      </c>
      <c r="V113" t="s">
        <v>57</v>
      </c>
      <c r="Z113" t="s">
        <v>113</v>
      </c>
      <c r="AA113" t="s">
        <v>159</v>
      </c>
      <c r="AB113" t="s">
        <v>65</v>
      </c>
      <c r="AC113">
        <v>930</v>
      </c>
      <c r="AD113" t="s">
        <v>69</v>
      </c>
      <c r="AE113">
        <v>16</v>
      </c>
      <c r="AF113">
        <v>470</v>
      </c>
      <c r="AP113" t="s">
        <v>93</v>
      </c>
      <c r="AS113" t="s">
        <v>70</v>
      </c>
      <c r="AT113">
        <v>60</v>
      </c>
      <c r="AU113">
        <f>-15-27</f>
        <v>-42</v>
      </c>
      <c r="AV113">
        <v>27</v>
      </c>
      <c r="AW113">
        <v>16</v>
      </c>
      <c r="AZ113">
        <v>222000</v>
      </c>
      <c r="BA113" t="s">
        <v>166</v>
      </c>
    </row>
    <row r="114" spans="1:53" x14ac:dyDescent="0.3">
      <c r="A114" s="7">
        <v>129</v>
      </c>
      <c r="B114" t="s">
        <v>1425</v>
      </c>
      <c r="C114" t="s">
        <v>1426</v>
      </c>
      <c r="D114" t="s">
        <v>2043</v>
      </c>
      <c r="E114" t="s">
        <v>62</v>
      </c>
      <c r="F114" t="s">
        <v>2037</v>
      </c>
      <c r="G114" t="s">
        <v>2044</v>
      </c>
      <c r="H114" s="3">
        <v>40522</v>
      </c>
      <c r="I114" t="s">
        <v>2039</v>
      </c>
      <c r="J114" t="s">
        <v>1430</v>
      </c>
      <c r="K114" t="s">
        <v>190</v>
      </c>
      <c r="L114">
        <v>15022369739</v>
      </c>
      <c r="M114">
        <v>15022369739</v>
      </c>
      <c r="N114" t="s">
        <v>2045</v>
      </c>
      <c r="O114" s="2">
        <v>45419</v>
      </c>
      <c r="P114" s="2">
        <v>46148</v>
      </c>
      <c r="Q114" t="s">
        <v>65</v>
      </c>
      <c r="R114" t="s">
        <v>86</v>
      </c>
      <c r="S114" t="s">
        <v>195</v>
      </c>
      <c r="T114" t="s">
        <v>2046</v>
      </c>
      <c r="U114" t="s">
        <v>2042</v>
      </c>
      <c r="V114" t="s">
        <v>57</v>
      </c>
      <c r="Z114" t="s">
        <v>113</v>
      </c>
      <c r="AA114" t="s">
        <v>159</v>
      </c>
      <c r="AB114" t="s">
        <v>65</v>
      </c>
      <c r="AC114">
        <v>930</v>
      </c>
      <c r="AD114" t="s">
        <v>69</v>
      </c>
      <c r="AE114">
        <v>16</v>
      </c>
      <c r="AF114">
        <v>470</v>
      </c>
      <c r="AP114" t="s">
        <v>163</v>
      </c>
      <c r="AS114" t="s">
        <v>70</v>
      </c>
      <c r="AT114">
        <v>60</v>
      </c>
      <c r="AU114">
        <f>-15-27</f>
        <v>-42</v>
      </c>
      <c r="AV114">
        <v>27</v>
      </c>
      <c r="AW114">
        <v>16</v>
      </c>
      <c r="AZ114">
        <v>222000</v>
      </c>
      <c r="BA114" t="s">
        <v>166</v>
      </c>
    </row>
    <row r="115" spans="1:53" x14ac:dyDescent="0.3">
      <c r="A115" s="7">
        <v>130</v>
      </c>
      <c r="B115" t="s">
        <v>1425</v>
      </c>
      <c r="C115" t="s">
        <v>1426</v>
      </c>
      <c r="D115" t="s">
        <v>2047</v>
      </c>
      <c r="E115" t="s">
        <v>62</v>
      </c>
      <c r="F115" t="s">
        <v>1753</v>
      </c>
      <c r="G115" s="6">
        <v>1026333</v>
      </c>
      <c r="H115" s="3">
        <v>41791</v>
      </c>
      <c r="I115" t="s">
        <v>1850</v>
      </c>
      <c r="J115" t="s">
        <v>1430</v>
      </c>
      <c r="K115" t="s">
        <v>190</v>
      </c>
      <c r="L115">
        <v>15161340623</v>
      </c>
      <c r="M115">
        <v>15161340623</v>
      </c>
      <c r="N115">
        <v>33</v>
      </c>
      <c r="O115" s="2">
        <v>45525</v>
      </c>
      <c r="P115" s="2">
        <v>46255</v>
      </c>
      <c r="Q115" t="s">
        <v>65</v>
      </c>
      <c r="R115" t="s">
        <v>86</v>
      </c>
      <c r="S115" t="s">
        <v>195</v>
      </c>
      <c r="T115" t="s">
        <v>2048</v>
      </c>
      <c r="U115" t="s">
        <v>67</v>
      </c>
      <c r="V115" t="s">
        <v>57</v>
      </c>
      <c r="Z115" t="s">
        <v>113</v>
      </c>
      <c r="AA115" t="s">
        <v>159</v>
      </c>
      <c r="AB115" t="s">
        <v>65</v>
      </c>
      <c r="AC115">
        <v>930</v>
      </c>
      <c r="AD115" t="s">
        <v>69</v>
      </c>
      <c r="AE115">
        <v>12</v>
      </c>
      <c r="AF115">
        <v>396</v>
      </c>
      <c r="AK115">
        <v>60</v>
      </c>
      <c r="AN115">
        <v>17</v>
      </c>
      <c r="AP115" t="s">
        <v>163</v>
      </c>
      <c r="AS115" t="s">
        <v>274</v>
      </c>
      <c r="AT115">
        <v>60</v>
      </c>
      <c r="AU115">
        <f>-15-20/28</f>
        <v>-15.714285714285714</v>
      </c>
      <c r="AV115">
        <v>28</v>
      </c>
      <c r="AW115">
        <v>12</v>
      </c>
      <c r="AZ115">
        <v>222000</v>
      </c>
      <c r="BA115" t="s">
        <v>166</v>
      </c>
    </row>
    <row r="116" spans="1:53" x14ac:dyDescent="0.3">
      <c r="A116" s="7">
        <v>131</v>
      </c>
      <c r="B116" t="s">
        <v>1425</v>
      </c>
      <c r="C116" t="s">
        <v>1426</v>
      </c>
      <c r="D116" t="s">
        <v>2049</v>
      </c>
      <c r="E116" t="s">
        <v>214</v>
      </c>
      <c r="F116" t="s">
        <v>1307</v>
      </c>
      <c r="G116">
        <v>1030121</v>
      </c>
      <c r="I116" t="s">
        <v>1600</v>
      </c>
      <c r="J116" t="s">
        <v>1430</v>
      </c>
      <c r="K116" t="s">
        <v>1601</v>
      </c>
      <c r="L116">
        <v>18061393719</v>
      </c>
      <c r="M116">
        <v>18061393719</v>
      </c>
      <c r="N116" t="s">
        <v>2050</v>
      </c>
      <c r="O116" s="2">
        <v>45758</v>
      </c>
      <c r="P116" s="2">
        <v>46123</v>
      </c>
      <c r="Q116" t="s">
        <v>65</v>
      </c>
      <c r="R116" t="s">
        <v>86</v>
      </c>
      <c r="S116" t="s">
        <v>155</v>
      </c>
      <c r="T116" t="s">
        <v>2051</v>
      </c>
      <c r="U116" t="s">
        <v>214</v>
      </c>
      <c r="V116" t="s">
        <v>57</v>
      </c>
      <c r="X116" t="s">
        <v>1580</v>
      </c>
      <c r="Z116" t="s">
        <v>113</v>
      </c>
      <c r="AA116" t="s">
        <v>159</v>
      </c>
      <c r="AB116" t="s">
        <v>65</v>
      </c>
      <c r="AC116">
        <v>515</v>
      </c>
      <c r="AD116" t="s">
        <v>69</v>
      </c>
      <c r="AE116">
        <v>25</v>
      </c>
      <c r="AF116">
        <v>102</v>
      </c>
      <c r="AK116">
        <v>1.75</v>
      </c>
      <c r="AP116" t="s">
        <v>93</v>
      </c>
      <c r="AS116" t="s">
        <v>344</v>
      </c>
      <c r="AT116">
        <v>1.75</v>
      </c>
      <c r="AU116">
        <v>18</v>
      </c>
      <c r="AV116">
        <v>20</v>
      </c>
      <c r="AW116">
        <v>25</v>
      </c>
      <c r="AZ116">
        <v>222000</v>
      </c>
      <c r="BA116" t="s">
        <v>166</v>
      </c>
    </row>
    <row r="117" spans="1:53" x14ac:dyDescent="0.3">
      <c r="A117" s="7">
        <v>132</v>
      </c>
      <c r="B117" t="s">
        <v>1425</v>
      </c>
      <c r="C117" t="s">
        <v>1426</v>
      </c>
      <c r="D117" t="s">
        <v>2052</v>
      </c>
      <c r="E117" t="s">
        <v>214</v>
      </c>
      <c r="F117" t="s">
        <v>1307</v>
      </c>
      <c r="G117">
        <v>1030120</v>
      </c>
      <c r="I117" t="s">
        <v>1600</v>
      </c>
      <c r="J117" t="s">
        <v>1430</v>
      </c>
      <c r="K117" t="s">
        <v>1601</v>
      </c>
      <c r="L117">
        <v>18061393719</v>
      </c>
      <c r="M117">
        <v>18061393719</v>
      </c>
      <c r="N117" t="s">
        <v>2053</v>
      </c>
      <c r="O117" s="2">
        <v>45758</v>
      </c>
      <c r="P117" s="2">
        <v>46123</v>
      </c>
      <c r="Q117" t="s">
        <v>65</v>
      </c>
      <c r="R117" t="s">
        <v>86</v>
      </c>
      <c r="S117" t="s">
        <v>155</v>
      </c>
      <c r="T117" t="s">
        <v>2054</v>
      </c>
      <c r="U117" t="s">
        <v>214</v>
      </c>
      <c r="V117" t="s">
        <v>57</v>
      </c>
      <c r="X117" t="s">
        <v>1580</v>
      </c>
      <c r="Z117" t="s">
        <v>113</v>
      </c>
      <c r="AA117" t="s">
        <v>159</v>
      </c>
      <c r="AB117" t="s">
        <v>65</v>
      </c>
      <c r="AC117">
        <v>515</v>
      </c>
      <c r="AD117" t="s">
        <v>69</v>
      </c>
      <c r="AE117">
        <v>25</v>
      </c>
      <c r="AF117">
        <v>102</v>
      </c>
      <c r="AK117">
        <v>1.75</v>
      </c>
      <c r="AP117" t="s">
        <v>93</v>
      </c>
      <c r="AS117" t="s">
        <v>344</v>
      </c>
      <c r="AT117">
        <v>1.75</v>
      </c>
      <c r="AU117">
        <v>18</v>
      </c>
      <c r="AV117">
        <v>20</v>
      </c>
      <c r="AW117">
        <v>25</v>
      </c>
      <c r="AZ117">
        <v>222000</v>
      </c>
      <c r="BA117" t="s">
        <v>166</v>
      </c>
    </row>
    <row r="118" spans="1:53" x14ac:dyDescent="0.3">
      <c r="A118" s="7">
        <v>133</v>
      </c>
      <c r="B118" t="s">
        <v>1425</v>
      </c>
      <c r="C118" t="s">
        <v>1426</v>
      </c>
      <c r="D118" t="s">
        <v>2055</v>
      </c>
      <c r="E118" t="s">
        <v>214</v>
      </c>
      <c r="F118" t="s">
        <v>1307</v>
      </c>
      <c r="G118">
        <v>1030124</v>
      </c>
      <c r="I118" t="s">
        <v>1600</v>
      </c>
      <c r="J118" t="s">
        <v>1430</v>
      </c>
      <c r="K118" t="s">
        <v>1601</v>
      </c>
      <c r="L118">
        <v>18061393719</v>
      </c>
      <c r="M118">
        <v>18061393719</v>
      </c>
      <c r="N118" t="s">
        <v>2056</v>
      </c>
      <c r="O118" s="2">
        <v>45758</v>
      </c>
      <c r="P118" s="2">
        <v>46123</v>
      </c>
      <c r="Q118" t="s">
        <v>65</v>
      </c>
      <c r="R118" t="s">
        <v>86</v>
      </c>
      <c r="S118" t="s">
        <v>155</v>
      </c>
      <c r="T118" t="s">
        <v>2057</v>
      </c>
      <c r="U118" t="s">
        <v>214</v>
      </c>
      <c r="V118" t="s">
        <v>57</v>
      </c>
      <c r="X118" t="s">
        <v>1580</v>
      </c>
      <c r="Z118" t="s">
        <v>113</v>
      </c>
      <c r="AA118" t="s">
        <v>159</v>
      </c>
      <c r="AB118" t="s">
        <v>65</v>
      </c>
      <c r="AC118">
        <v>515</v>
      </c>
      <c r="AD118" t="s">
        <v>69</v>
      </c>
      <c r="AE118">
        <v>25</v>
      </c>
      <c r="AF118">
        <v>102</v>
      </c>
      <c r="AK118">
        <v>1.75</v>
      </c>
      <c r="AP118" t="s">
        <v>93</v>
      </c>
      <c r="AS118" t="s">
        <v>344</v>
      </c>
      <c r="AT118">
        <v>1.75</v>
      </c>
      <c r="AU118">
        <v>18</v>
      </c>
      <c r="AV118">
        <v>20</v>
      </c>
      <c r="AW118">
        <v>25</v>
      </c>
      <c r="AZ118">
        <v>222000</v>
      </c>
      <c r="BA118" t="s">
        <v>166</v>
      </c>
    </row>
    <row r="119" spans="1:53" x14ac:dyDescent="0.3">
      <c r="A119" s="7">
        <v>134</v>
      </c>
      <c r="B119" t="s">
        <v>1425</v>
      </c>
      <c r="C119" t="s">
        <v>1426</v>
      </c>
      <c r="D119" t="s">
        <v>2058</v>
      </c>
      <c r="E119" t="s">
        <v>214</v>
      </c>
      <c r="F119" t="s">
        <v>1307</v>
      </c>
      <c r="G119">
        <v>1030123</v>
      </c>
      <c r="I119" t="s">
        <v>1600</v>
      </c>
      <c r="J119" t="s">
        <v>1430</v>
      </c>
      <c r="K119" t="s">
        <v>1601</v>
      </c>
      <c r="L119">
        <v>18061393719</v>
      </c>
      <c r="M119">
        <v>18061393719</v>
      </c>
      <c r="N119" t="s">
        <v>2059</v>
      </c>
      <c r="O119" s="2">
        <v>45758</v>
      </c>
      <c r="P119" s="2">
        <v>46123</v>
      </c>
      <c r="Q119" t="s">
        <v>65</v>
      </c>
      <c r="R119" t="s">
        <v>86</v>
      </c>
      <c r="S119" t="s">
        <v>155</v>
      </c>
      <c r="T119" t="s">
        <v>2060</v>
      </c>
      <c r="U119" t="s">
        <v>214</v>
      </c>
      <c r="V119" t="s">
        <v>57</v>
      </c>
      <c r="X119" t="s">
        <v>1580</v>
      </c>
      <c r="Z119" t="s">
        <v>113</v>
      </c>
      <c r="AA119" t="s">
        <v>159</v>
      </c>
      <c r="AB119" t="s">
        <v>65</v>
      </c>
      <c r="AC119">
        <v>515</v>
      </c>
      <c r="AD119" t="s">
        <v>69</v>
      </c>
      <c r="AE119">
        <v>25</v>
      </c>
      <c r="AF119">
        <v>102</v>
      </c>
      <c r="AK119">
        <v>1.75</v>
      </c>
      <c r="AP119" t="s">
        <v>93</v>
      </c>
      <c r="AS119" t="s">
        <v>344</v>
      </c>
      <c r="AT119">
        <v>1.75</v>
      </c>
      <c r="AU119">
        <v>18</v>
      </c>
      <c r="AV119">
        <v>20</v>
      </c>
      <c r="AW119">
        <v>25</v>
      </c>
      <c r="AZ119">
        <v>222000</v>
      </c>
      <c r="BA119" t="s">
        <v>166</v>
      </c>
    </row>
    <row r="120" spans="1:53" x14ac:dyDescent="0.3">
      <c r="A120" s="7">
        <v>135</v>
      </c>
      <c r="B120" t="s">
        <v>1425</v>
      </c>
      <c r="C120" t="s">
        <v>1426</v>
      </c>
      <c r="D120" t="s">
        <v>2061</v>
      </c>
      <c r="E120" t="s">
        <v>214</v>
      </c>
      <c r="F120" t="s">
        <v>1307</v>
      </c>
      <c r="G120">
        <v>1030122</v>
      </c>
      <c r="I120" t="s">
        <v>1600</v>
      </c>
      <c r="J120" t="s">
        <v>1430</v>
      </c>
      <c r="K120" t="s">
        <v>1601</v>
      </c>
      <c r="L120">
        <v>18061393719</v>
      </c>
      <c r="M120">
        <v>18061393719</v>
      </c>
      <c r="N120" t="s">
        <v>2062</v>
      </c>
      <c r="O120" s="2">
        <v>45758</v>
      </c>
      <c r="P120" s="2">
        <v>46123</v>
      </c>
      <c r="Q120" t="s">
        <v>65</v>
      </c>
      <c r="R120" t="s">
        <v>86</v>
      </c>
      <c r="S120" t="s">
        <v>155</v>
      </c>
      <c r="T120" t="s">
        <v>2063</v>
      </c>
      <c r="U120" t="s">
        <v>214</v>
      </c>
      <c r="V120" t="s">
        <v>57</v>
      </c>
      <c r="X120" t="s">
        <v>1580</v>
      </c>
      <c r="Z120" t="s">
        <v>113</v>
      </c>
      <c r="AA120" t="s">
        <v>159</v>
      </c>
      <c r="AB120" t="s">
        <v>65</v>
      </c>
      <c r="AC120">
        <v>515</v>
      </c>
      <c r="AD120" t="s">
        <v>69</v>
      </c>
      <c r="AE120">
        <v>25</v>
      </c>
      <c r="AF120">
        <v>102</v>
      </c>
      <c r="AK120">
        <v>1.75</v>
      </c>
      <c r="AP120" t="s">
        <v>93</v>
      </c>
      <c r="AS120" t="s">
        <v>344</v>
      </c>
      <c r="AT120">
        <v>1.75</v>
      </c>
      <c r="AU120">
        <v>18</v>
      </c>
      <c r="AV120">
        <v>20</v>
      </c>
      <c r="AW120">
        <v>25</v>
      </c>
      <c r="AZ120">
        <v>222000</v>
      </c>
      <c r="BA120" t="s">
        <v>166</v>
      </c>
    </row>
    <row r="121" spans="1:53" x14ac:dyDescent="0.3">
      <c r="A121" s="7">
        <v>136</v>
      </c>
      <c r="B121" t="s">
        <v>1425</v>
      </c>
      <c r="C121" t="s">
        <v>1426</v>
      </c>
      <c r="D121" t="s">
        <v>2064</v>
      </c>
      <c r="E121" t="s">
        <v>214</v>
      </c>
      <c r="F121" t="s">
        <v>1913</v>
      </c>
      <c r="G121">
        <v>1320119</v>
      </c>
      <c r="H121" s="3">
        <v>41436</v>
      </c>
      <c r="I121" t="s">
        <v>1539</v>
      </c>
      <c r="J121" t="s">
        <v>1430</v>
      </c>
      <c r="K121" t="s">
        <v>1540</v>
      </c>
      <c r="L121">
        <v>18352821898</v>
      </c>
      <c r="M121">
        <v>18352821898</v>
      </c>
      <c r="N121" t="s">
        <v>2065</v>
      </c>
      <c r="O121" s="2">
        <v>45754</v>
      </c>
      <c r="P121" s="2">
        <v>46119</v>
      </c>
      <c r="Q121" t="s">
        <v>65</v>
      </c>
      <c r="R121" t="s">
        <v>86</v>
      </c>
      <c r="S121" t="s">
        <v>155</v>
      </c>
      <c r="T121" t="s">
        <v>2066</v>
      </c>
      <c r="U121" t="s">
        <v>214</v>
      </c>
      <c r="V121" t="s">
        <v>57</v>
      </c>
      <c r="X121" t="s">
        <v>1540</v>
      </c>
      <c r="Z121" t="s">
        <v>113</v>
      </c>
      <c r="AA121" t="s">
        <v>159</v>
      </c>
      <c r="AB121" t="s">
        <v>65</v>
      </c>
      <c r="AC121">
        <v>890</v>
      </c>
      <c r="AD121" t="s">
        <v>69</v>
      </c>
      <c r="AE121">
        <v>50</v>
      </c>
      <c r="AF121">
        <v>200</v>
      </c>
      <c r="AK121">
        <v>2.3330000000000002</v>
      </c>
      <c r="AP121" t="s">
        <v>93</v>
      </c>
      <c r="AS121" t="s">
        <v>344</v>
      </c>
      <c r="AT121">
        <v>2.3330000000000002</v>
      </c>
      <c r="AU121">
        <v>28</v>
      </c>
      <c r="AV121">
        <v>17</v>
      </c>
      <c r="AW121">
        <v>50</v>
      </c>
      <c r="AZ121">
        <v>222000</v>
      </c>
    </row>
    <row r="122" spans="1:53" x14ac:dyDescent="0.3">
      <c r="A122" s="7">
        <v>137</v>
      </c>
      <c r="B122" t="s">
        <v>1425</v>
      </c>
      <c r="C122" t="s">
        <v>1426</v>
      </c>
      <c r="D122" t="s">
        <v>2074</v>
      </c>
      <c r="E122" t="s">
        <v>62</v>
      </c>
      <c r="F122" t="s">
        <v>2075</v>
      </c>
      <c r="G122" t="s">
        <v>2076</v>
      </c>
      <c r="H122" s="3">
        <v>41690</v>
      </c>
      <c r="I122" t="s">
        <v>2018</v>
      </c>
      <c r="J122" t="s">
        <v>1430</v>
      </c>
      <c r="K122" t="s">
        <v>1540</v>
      </c>
      <c r="L122">
        <v>18352821898</v>
      </c>
      <c r="N122" t="s">
        <v>2077</v>
      </c>
      <c r="O122" s="2">
        <v>45393</v>
      </c>
      <c r="P122" s="2">
        <v>46122</v>
      </c>
      <c r="Q122" t="s">
        <v>65</v>
      </c>
      <c r="R122" t="s">
        <v>86</v>
      </c>
      <c r="S122" t="s">
        <v>87</v>
      </c>
      <c r="T122" t="s">
        <v>2078</v>
      </c>
      <c r="U122" t="s">
        <v>67</v>
      </c>
      <c r="V122" t="s">
        <v>57</v>
      </c>
      <c r="X122" t="s">
        <v>204</v>
      </c>
      <c r="Z122" t="s">
        <v>113</v>
      </c>
      <c r="AA122" t="s">
        <v>159</v>
      </c>
      <c r="AB122" t="s">
        <v>65</v>
      </c>
      <c r="AC122">
        <v>930</v>
      </c>
      <c r="AD122" t="s">
        <v>69</v>
      </c>
      <c r="AE122">
        <v>25</v>
      </c>
      <c r="AF122">
        <v>857</v>
      </c>
      <c r="AP122" t="s">
        <v>93</v>
      </c>
      <c r="AS122" t="s">
        <v>323</v>
      </c>
      <c r="AT122" t="s">
        <v>1300</v>
      </c>
      <c r="AU122">
        <v>28</v>
      </c>
      <c r="AV122">
        <v>27</v>
      </c>
      <c r="AW122">
        <v>25</v>
      </c>
      <c r="AZ122">
        <v>222000</v>
      </c>
    </row>
    <row r="123" spans="1:53" x14ac:dyDescent="0.3">
      <c r="A123" s="7">
        <v>138</v>
      </c>
      <c r="B123" t="s">
        <v>1425</v>
      </c>
      <c r="C123" t="s">
        <v>1426</v>
      </c>
      <c r="D123" t="s">
        <v>2079</v>
      </c>
      <c r="E123" t="s">
        <v>62</v>
      </c>
      <c r="F123" t="s">
        <v>1566</v>
      </c>
      <c r="G123" t="s">
        <v>2080</v>
      </c>
      <c r="H123" s="3">
        <v>40505</v>
      </c>
      <c r="I123" t="s">
        <v>2081</v>
      </c>
      <c r="J123" t="s">
        <v>1430</v>
      </c>
      <c r="K123" t="s">
        <v>190</v>
      </c>
      <c r="L123">
        <v>15022369739</v>
      </c>
      <c r="M123">
        <v>15022369739</v>
      </c>
      <c r="N123" t="s">
        <v>2082</v>
      </c>
      <c r="O123" s="2">
        <v>45419</v>
      </c>
      <c r="P123" s="2">
        <v>46148</v>
      </c>
      <c r="Q123" t="s">
        <v>65</v>
      </c>
      <c r="R123" t="s">
        <v>86</v>
      </c>
      <c r="S123" t="s">
        <v>195</v>
      </c>
      <c r="T123" t="s">
        <v>2083</v>
      </c>
      <c r="U123" t="s">
        <v>67</v>
      </c>
      <c r="V123" t="s">
        <v>57</v>
      </c>
      <c r="Z123" t="s">
        <v>113</v>
      </c>
      <c r="AA123" t="s">
        <v>159</v>
      </c>
      <c r="AB123" t="s">
        <v>65</v>
      </c>
      <c r="AC123">
        <v>1190</v>
      </c>
      <c r="AD123" t="s">
        <v>69</v>
      </c>
      <c r="AE123">
        <v>40</v>
      </c>
      <c r="AF123">
        <v>1480</v>
      </c>
      <c r="AP123" t="s">
        <v>163</v>
      </c>
      <c r="AS123" t="s">
        <v>70</v>
      </c>
      <c r="AT123" t="s">
        <v>1139</v>
      </c>
      <c r="AU123" t="s">
        <v>1571</v>
      </c>
      <c r="AV123">
        <v>27</v>
      </c>
      <c r="AW123">
        <v>40</v>
      </c>
      <c r="AX123">
        <v>40</v>
      </c>
      <c r="AZ123">
        <v>222000</v>
      </c>
      <c r="BA123" t="s">
        <v>166</v>
      </c>
    </row>
    <row r="124" spans="1:53" x14ac:dyDescent="0.3">
      <c r="A124" s="7">
        <v>139</v>
      </c>
      <c r="B124" t="s">
        <v>1425</v>
      </c>
      <c r="C124" t="s">
        <v>1426</v>
      </c>
      <c r="D124" t="s">
        <v>2084</v>
      </c>
      <c r="E124" t="s">
        <v>62</v>
      </c>
      <c r="F124" t="s">
        <v>439</v>
      </c>
      <c r="G124">
        <v>20060037</v>
      </c>
      <c r="H124" s="3">
        <v>38930</v>
      </c>
      <c r="I124" t="s">
        <v>2085</v>
      </c>
      <c r="J124" t="s">
        <v>1430</v>
      </c>
      <c r="K124" t="s">
        <v>204</v>
      </c>
      <c r="L124">
        <v>18352821898</v>
      </c>
      <c r="N124" t="s">
        <v>440</v>
      </c>
      <c r="O124" s="2">
        <v>45258</v>
      </c>
      <c r="P124" s="2">
        <v>45988</v>
      </c>
      <c r="Q124" t="s">
        <v>65</v>
      </c>
      <c r="R124" t="s">
        <v>86</v>
      </c>
      <c r="S124" t="s">
        <v>87</v>
      </c>
      <c r="T124" t="s">
        <v>2086</v>
      </c>
      <c r="U124" t="s">
        <v>62</v>
      </c>
      <c r="V124" t="s">
        <v>57</v>
      </c>
      <c r="X124" t="s">
        <v>1540</v>
      </c>
      <c r="Z124" t="s">
        <v>113</v>
      </c>
      <c r="AA124" t="s">
        <v>159</v>
      </c>
      <c r="AB124" t="s">
        <v>65</v>
      </c>
      <c r="AC124">
        <v>750</v>
      </c>
      <c r="AD124" t="s">
        <v>69</v>
      </c>
      <c r="AE124">
        <v>16</v>
      </c>
      <c r="AF124">
        <v>520</v>
      </c>
      <c r="AK124">
        <v>60</v>
      </c>
      <c r="AP124" t="s">
        <v>93</v>
      </c>
      <c r="AS124" t="s">
        <v>1814</v>
      </c>
      <c r="AT124">
        <v>48</v>
      </c>
      <c r="AU124">
        <v>28</v>
      </c>
      <c r="AV124">
        <v>27</v>
      </c>
      <c r="AW124">
        <v>16</v>
      </c>
      <c r="AZ124">
        <v>222000</v>
      </c>
    </row>
    <row r="125" spans="1:53" x14ac:dyDescent="0.3">
      <c r="A125" s="7">
        <v>140</v>
      </c>
      <c r="B125" t="s">
        <v>1425</v>
      </c>
      <c r="C125" t="s">
        <v>1426</v>
      </c>
      <c r="D125" t="s">
        <v>2092</v>
      </c>
      <c r="E125" t="s">
        <v>62</v>
      </c>
      <c r="F125" t="s">
        <v>1566</v>
      </c>
      <c r="G125" t="s">
        <v>2093</v>
      </c>
      <c r="H125" s="3">
        <v>40505</v>
      </c>
      <c r="I125" t="s">
        <v>2081</v>
      </c>
      <c r="J125" t="s">
        <v>1430</v>
      </c>
      <c r="K125" t="s">
        <v>190</v>
      </c>
      <c r="L125">
        <v>15022369739</v>
      </c>
      <c r="M125">
        <v>15022369739</v>
      </c>
      <c r="N125" t="s">
        <v>2094</v>
      </c>
      <c r="O125" s="2">
        <v>45419</v>
      </c>
      <c r="P125" s="2">
        <v>46148</v>
      </c>
      <c r="Q125" t="s">
        <v>65</v>
      </c>
      <c r="R125" t="s">
        <v>86</v>
      </c>
      <c r="S125" t="s">
        <v>195</v>
      </c>
      <c r="T125" t="s">
        <v>2095</v>
      </c>
      <c r="U125" t="s">
        <v>67</v>
      </c>
      <c r="V125" t="s">
        <v>57</v>
      </c>
      <c r="Z125" t="s">
        <v>113</v>
      </c>
      <c r="AA125" t="s">
        <v>159</v>
      </c>
      <c r="AB125" t="s">
        <v>65</v>
      </c>
      <c r="AC125">
        <v>1190</v>
      </c>
      <c r="AD125" t="s">
        <v>69</v>
      </c>
      <c r="AE125">
        <v>40</v>
      </c>
      <c r="AF125">
        <v>1480</v>
      </c>
      <c r="AP125" t="s">
        <v>163</v>
      </c>
      <c r="AS125" t="s">
        <v>70</v>
      </c>
      <c r="AT125" t="s">
        <v>1139</v>
      </c>
      <c r="AU125" t="s">
        <v>1571</v>
      </c>
      <c r="AV125">
        <v>27</v>
      </c>
      <c r="AW125">
        <v>40</v>
      </c>
      <c r="AX125">
        <v>40</v>
      </c>
      <c r="AZ125">
        <v>222000</v>
      </c>
      <c r="BA125" t="s">
        <v>166</v>
      </c>
    </row>
    <row r="126" spans="1:53" x14ac:dyDescent="0.3">
      <c r="A126" s="7">
        <v>141</v>
      </c>
      <c r="B126" t="s">
        <v>1425</v>
      </c>
      <c r="C126" t="s">
        <v>1426</v>
      </c>
      <c r="D126" t="s">
        <v>2096</v>
      </c>
      <c r="E126" t="s">
        <v>62</v>
      </c>
      <c r="F126" t="s">
        <v>1566</v>
      </c>
      <c r="G126" t="s">
        <v>2097</v>
      </c>
      <c r="H126" s="3">
        <v>40505</v>
      </c>
      <c r="I126" t="s">
        <v>2081</v>
      </c>
      <c r="J126" t="s">
        <v>1430</v>
      </c>
      <c r="K126" t="s">
        <v>190</v>
      </c>
      <c r="L126">
        <v>15022369739</v>
      </c>
      <c r="M126">
        <v>15022369739</v>
      </c>
      <c r="N126" t="s">
        <v>2098</v>
      </c>
      <c r="O126" s="2">
        <v>45419</v>
      </c>
      <c r="P126" s="2">
        <v>46148</v>
      </c>
      <c r="Q126" t="s">
        <v>65</v>
      </c>
      <c r="R126" t="s">
        <v>86</v>
      </c>
      <c r="S126" t="s">
        <v>195</v>
      </c>
      <c r="T126" t="s">
        <v>2099</v>
      </c>
      <c r="U126" t="s">
        <v>67</v>
      </c>
      <c r="V126" t="s">
        <v>57</v>
      </c>
      <c r="Z126" t="s">
        <v>113</v>
      </c>
      <c r="AA126" t="s">
        <v>159</v>
      </c>
      <c r="AB126" t="s">
        <v>65</v>
      </c>
      <c r="AC126">
        <v>1190</v>
      </c>
      <c r="AD126" t="s">
        <v>69</v>
      </c>
      <c r="AE126">
        <v>40</v>
      </c>
      <c r="AF126">
        <v>1480</v>
      </c>
      <c r="AP126" t="s">
        <v>163</v>
      </c>
      <c r="AS126" t="s">
        <v>70</v>
      </c>
      <c r="AT126" t="s">
        <v>1139</v>
      </c>
      <c r="AU126" t="s">
        <v>1571</v>
      </c>
      <c r="AV126">
        <v>27</v>
      </c>
      <c r="AW126">
        <v>40</v>
      </c>
      <c r="AX126">
        <v>40</v>
      </c>
      <c r="AZ126">
        <v>222000</v>
      </c>
      <c r="BA126" t="s">
        <v>166</v>
      </c>
    </row>
    <row r="127" spans="1:53" x14ac:dyDescent="0.3">
      <c r="A127" s="7">
        <v>142</v>
      </c>
      <c r="B127" t="s">
        <v>1425</v>
      </c>
      <c r="C127" t="s">
        <v>1426</v>
      </c>
      <c r="D127" t="s">
        <v>2100</v>
      </c>
      <c r="E127" t="s">
        <v>62</v>
      </c>
      <c r="F127" t="s">
        <v>1566</v>
      </c>
      <c r="G127" t="s">
        <v>2101</v>
      </c>
      <c r="H127" s="3">
        <v>40505</v>
      </c>
      <c r="I127" t="s">
        <v>2081</v>
      </c>
      <c r="J127" t="s">
        <v>1430</v>
      </c>
      <c r="K127" t="s">
        <v>190</v>
      </c>
      <c r="L127">
        <v>15022369739</v>
      </c>
      <c r="M127">
        <v>15022369739</v>
      </c>
      <c r="N127" t="s">
        <v>2102</v>
      </c>
      <c r="O127" s="2">
        <v>45419</v>
      </c>
      <c r="P127" s="2">
        <v>46148</v>
      </c>
      <c r="Q127" t="s">
        <v>65</v>
      </c>
      <c r="R127" t="s">
        <v>86</v>
      </c>
      <c r="S127" t="s">
        <v>195</v>
      </c>
      <c r="T127" t="s">
        <v>2103</v>
      </c>
      <c r="U127" t="s">
        <v>67</v>
      </c>
      <c r="V127" t="s">
        <v>57</v>
      </c>
      <c r="Z127" t="s">
        <v>113</v>
      </c>
      <c r="AA127" t="s">
        <v>159</v>
      </c>
      <c r="AB127" t="s">
        <v>65</v>
      </c>
      <c r="AC127">
        <v>1190</v>
      </c>
      <c r="AD127" t="s">
        <v>69</v>
      </c>
      <c r="AE127">
        <v>40</v>
      </c>
      <c r="AF127">
        <v>1480</v>
      </c>
      <c r="AP127" t="s">
        <v>163</v>
      </c>
      <c r="AS127" t="s">
        <v>70</v>
      </c>
      <c r="AT127" t="s">
        <v>1139</v>
      </c>
      <c r="AU127" t="s">
        <v>1571</v>
      </c>
      <c r="AV127">
        <v>27</v>
      </c>
      <c r="AW127">
        <v>40</v>
      </c>
      <c r="AX127">
        <v>40</v>
      </c>
      <c r="AZ127">
        <v>222000</v>
      </c>
      <c r="BA127" t="s">
        <v>166</v>
      </c>
    </row>
    <row r="128" spans="1:53" x14ac:dyDescent="0.3">
      <c r="A128" s="7">
        <v>143</v>
      </c>
      <c r="B128" t="s">
        <v>1425</v>
      </c>
      <c r="C128" t="s">
        <v>1426</v>
      </c>
      <c r="D128" t="s">
        <v>2104</v>
      </c>
      <c r="E128" t="s">
        <v>62</v>
      </c>
      <c r="F128" t="s">
        <v>1566</v>
      </c>
      <c r="G128" t="s">
        <v>2105</v>
      </c>
      <c r="H128" s="3">
        <v>40505</v>
      </c>
      <c r="I128" t="s">
        <v>2081</v>
      </c>
      <c r="J128" t="s">
        <v>1430</v>
      </c>
      <c r="K128" t="s">
        <v>190</v>
      </c>
      <c r="L128">
        <v>15022369739</v>
      </c>
      <c r="M128">
        <v>15022369739</v>
      </c>
      <c r="N128" t="s">
        <v>2106</v>
      </c>
      <c r="O128" s="2">
        <v>45419</v>
      </c>
      <c r="P128" s="2">
        <v>46148</v>
      </c>
      <c r="Q128" t="s">
        <v>65</v>
      </c>
      <c r="R128" t="s">
        <v>86</v>
      </c>
      <c r="S128" t="s">
        <v>195</v>
      </c>
      <c r="T128" t="s">
        <v>2107</v>
      </c>
      <c r="U128" t="s">
        <v>67</v>
      </c>
      <c r="V128" t="s">
        <v>57</v>
      </c>
      <c r="Z128" t="s">
        <v>113</v>
      </c>
      <c r="AA128" t="s">
        <v>159</v>
      </c>
      <c r="AB128" t="s">
        <v>65</v>
      </c>
      <c r="AC128">
        <v>1190</v>
      </c>
      <c r="AD128" t="s">
        <v>69</v>
      </c>
      <c r="AE128">
        <v>40</v>
      </c>
      <c r="AF128">
        <v>1480</v>
      </c>
      <c r="AP128" t="s">
        <v>163</v>
      </c>
      <c r="AS128" t="s">
        <v>70</v>
      </c>
      <c r="AT128" t="s">
        <v>1139</v>
      </c>
      <c r="AU128" t="s">
        <v>1571</v>
      </c>
      <c r="AV128">
        <v>27</v>
      </c>
      <c r="AW128">
        <v>40</v>
      </c>
      <c r="AX128">
        <v>40</v>
      </c>
      <c r="AZ128">
        <v>222000</v>
      </c>
      <c r="BA128" t="s">
        <v>166</v>
      </c>
    </row>
    <row r="129" spans="1:57" x14ac:dyDescent="0.3">
      <c r="A129" s="7">
        <v>144</v>
      </c>
      <c r="B129" t="s">
        <v>1425</v>
      </c>
      <c r="C129" t="s">
        <v>1426</v>
      </c>
      <c r="D129" t="s">
        <v>2108</v>
      </c>
      <c r="E129" t="s">
        <v>62</v>
      </c>
      <c r="F129" t="s">
        <v>1566</v>
      </c>
      <c r="G129" t="s">
        <v>2109</v>
      </c>
      <c r="H129" s="3">
        <v>40505</v>
      </c>
      <c r="I129" t="s">
        <v>2081</v>
      </c>
      <c r="J129" t="s">
        <v>1430</v>
      </c>
      <c r="K129" t="s">
        <v>190</v>
      </c>
      <c r="L129">
        <v>15022369739</v>
      </c>
      <c r="M129">
        <v>15022369739</v>
      </c>
      <c r="N129" t="s">
        <v>2110</v>
      </c>
      <c r="O129" s="2">
        <v>45419</v>
      </c>
      <c r="P129" s="2">
        <v>46148</v>
      </c>
      <c r="Q129" t="s">
        <v>65</v>
      </c>
      <c r="R129" t="s">
        <v>86</v>
      </c>
      <c r="S129" t="s">
        <v>195</v>
      </c>
      <c r="T129" t="s">
        <v>2111</v>
      </c>
      <c r="U129" t="s">
        <v>67</v>
      </c>
      <c r="V129" t="s">
        <v>57</v>
      </c>
      <c r="Z129" t="s">
        <v>113</v>
      </c>
      <c r="AA129" t="s">
        <v>159</v>
      </c>
      <c r="AB129" t="s">
        <v>65</v>
      </c>
      <c r="AC129">
        <v>1190</v>
      </c>
      <c r="AD129" t="s">
        <v>69</v>
      </c>
      <c r="AE129">
        <v>40</v>
      </c>
      <c r="AF129">
        <v>1480</v>
      </c>
      <c r="AP129" t="s">
        <v>163</v>
      </c>
      <c r="AS129" t="s">
        <v>70</v>
      </c>
      <c r="AT129" t="s">
        <v>1139</v>
      </c>
      <c r="AU129" t="s">
        <v>1571</v>
      </c>
      <c r="AV129">
        <v>27</v>
      </c>
      <c r="AW129">
        <v>40</v>
      </c>
      <c r="AX129">
        <v>40</v>
      </c>
      <c r="AZ129">
        <v>222000</v>
      </c>
      <c r="BA129" t="s">
        <v>166</v>
      </c>
    </row>
    <row r="130" spans="1:57" x14ac:dyDescent="0.3">
      <c r="A130" s="7">
        <v>145</v>
      </c>
      <c r="B130" t="s">
        <v>1425</v>
      </c>
      <c r="C130" t="s">
        <v>1426</v>
      </c>
      <c r="D130" t="s">
        <v>2112</v>
      </c>
      <c r="E130" t="s">
        <v>214</v>
      </c>
      <c r="F130" t="s">
        <v>1307</v>
      </c>
      <c r="G130">
        <v>1030127</v>
      </c>
      <c r="H130" s="3">
        <v>42248</v>
      </c>
      <c r="I130" t="s">
        <v>1600</v>
      </c>
      <c r="J130" t="s">
        <v>1430</v>
      </c>
      <c r="K130" t="s">
        <v>1601</v>
      </c>
      <c r="L130">
        <v>18061393719</v>
      </c>
      <c r="M130">
        <v>18061393719</v>
      </c>
      <c r="N130" t="s">
        <v>2113</v>
      </c>
      <c r="O130" s="2">
        <v>45758</v>
      </c>
      <c r="P130" s="2">
        <v>46123</v>
      </c>
      <c r="Q130" t="s">
        <v>65</v>
      </c>
      <c r="R130" t="s">
        <v>86</v>
      </c>
      <c r="S130" t="s">
        <v>155</v>
      </c>
      <c r="T130" t="s">
        <v>2114</v>
      </c>
      <c r="U130" t="s">
        <v>214</v>
      </c>
      <c r="V130" t="s">
        <v>57</v>
      </c>
      <c r="X130" t="s">
        <v>1580</v>
      </c>
      <c r="Z130" t="s">
        <v>113</v>
      </c>
      <c r="AA130" t="s">
        <v>159</v>
      </c>
      <c r="AB130" t="s">
        <v>65</v>
      </c>
      <c r="AC130">
        <v>515</v>
      </c>
      <c r="AD130" t="s">
        <v>69</v>
      </c>
      <c r="AE130">
        <v>25</v>
      </c>
      <c r="AF130">
        <v>102</v>
      </c>
      <c r="AK130">
        <v>1.7</v>
      </c>
      <c r="AP130" t="s">
        <v>163</v>
      </c>
      <c r="AS130" t="s">
        <v>83</v>
      </c>
      <c r="AT130">
        <v>175</v>
      </c>
      <c r="AU130">
        <v>18</v>
      </c>
      <c r="AV130">
        <v>20</v>
      </c>
      <c r="AZ130">
        <v>222000</v>
      </c>
      <c r="BA130" t="s">
        <v>166</v>
      </c>
    </row>
    <row r="131" spans="1:57" x14ac:dyDescent="0.3">
      <c r="A131" s="7">
        <v>146</v>
      </c>
      <c r="B131" t="s">
        <v>1425</v>
      </c>
      <c r="C131" t="s">
        <v>1426</v>
      </c>
      <c r="D131" t="s">
        <v>2115</v>
      </c>
      <c r="E131" t="s">
        <v>124</v>
      </c>
      <c r="F131" t="s">
        <v>2116</v>
      </c>
      <c r="G131">
        <v>10100492</v>
      </c>
      <c r="H131" s="3">
        <v>40483</v>
      </c>
      <c r="I131" t="s">
        <v>2117</v>
      </c>
      <c r="J131" t="s">
        <v>1430</v>
      </c>
      <c r="K131" t="s">
        <v>204</v>
      </c>
      <c r="L131">
        <v>18352821898</v>
      </c>
      <c r="N131" t="s">
        <v>2118</v>
      </c>
      <c r="O131" s="2">
        <v>45579</v>
      </c>
      <c r="P131" s="2">
        <v>46309</v>
      </c>
      <c r="Q131" t="s">
        <v>65</v>
      </c>
      <c r="R131" t="s">
        <v>86</v>
      </c>
      <c r="S131" t="s">
        <v>155</v>
      </c>
      <c r="T131" t="s">
        <v>2119</v>
      </c>
      <c r="U131" t="s">
        <v>124</v>
      </c>
      <c r="V131" t="s">
        <v>57</v>
      </c>
      <c r="Z131" t="s">
        <v>113</v>
      </c>
      <c r="AA131" t="s">
        <v>290</v>
      </c>
      <c r="AB131" t="s">
        <v>65</v>
      </c>
      <c r="AC131">
        <v>600</v>
      </c>
      <c r="AD131" t="s">
        <v>69</v>
      </c>
      <c r="AE131">
        <v>10</v>
      </c>
      <c r="AH131">
        <v>18.95</v>
      </c>
      <c r="AK131">
        <v>7</v>
      </c>
      <c r="AN131">
        <v>15.5</v>
      </c>
      <c r="AP131" t="s">
        <v>163</v>
      </c>
      <c r="AQ131" t="s">
        <v>94</v>
      </c>
      <c r="AS131" t="s">
        <v>1619</v>
      </c>
      <c r="AT131">
        <v>7</v>
      </c>
      <c r="AU131">
        <v>8</v>
      </c>
      <c r="AV131">
        <v>15.5</v>
      </c>
      <c r="AW131">
        <v>10</v>
      </c>
      <c r="AZ131">
        <v>222000</v>
      </c>
      <c r="BB131" t="s">
        <v>248</v>
      </c>
      <c r="BD131" t="s">
        <v>385</v>
      </c>
      <c r="BE131" t="s">
        <v>386</v>
      </c>
    </row>
    <row r="132" spans="1:57" x14ac:dyDescent="0.3">
      <c r="A132" s="7">
        <v>147</v>
      </c>
      <c r="B132" t="s">
        <v>1425</v>
      </c>
      <c r="C132" t="s">
        <v>1426</v>
      </c>
      <c r="D132" t="s">
        <v>2120</v>
      </c>
      <c r="E132" t="s">
        <v>62</v>
      </c>
      <c r="F132" t="s">
        <v>1828</v>
      </c>
      <c r="G132" t="s">
        <v>2121</v>
      </c>
      <c r="I132" t="s">
        <v>269</v>
      </c>
      <c r="J132" t="s">
        <v>1430</v>
      </c>
      <c r="K132" t="s">
        <v>204</v>
      </c>
      <c r="L132">
        <v>18761348365</v>
      </c>
      <c r="N132" t="s">
        <v>2122</v>
      </c>
      <c r="O132" s="2">
        <v>45755</v>
      </c>
      <c r="P132" s="2">
        <v>46485</v>
      </c>
      <c r="Q132" t="s">
        <v>65</v>
      </c>
      <c r="R132" t="s">
        <v>86</v>
      </c>
      <c r="S132" t="s">
        <v>155</v>
      </c>
      <c r="T132" t="s">
        <v>2123</v>
      </c>
      <c r="U132" t="s">
        <v>67</v>
      </c>
      <c r="V132" t="s">
        <v>57</v>
      </c>
      <c r="X132" t="s">
        <v>1540</v>
      </c>
      <c r="Z132" t="s">
        <v>113</v>
      </c>
      <c r="AA132" t="s">
        <v>159</v>
      </c>
      <c r="AB132" t="s">
        <v>65</v>
      </c>
      <c r="AC132">
        <v>950</v>
      </c>
      <c r="AD132" t="s">
        <v>69</v>
      </c>
      <c r="AE132">
        <v>40</v>
      </c>
      <c r="AF132">
        <v>710</v>
      </c>
      <c r="AK132">
        <v>1</v>
      </c>
      <c r="AP132" t="s">
        <v>93</v>
      </c>
      <c r="AS132" t="s">
        <v>1674</v>
      </c>
      <c r="AT132">
        <v>50</v>
      </c>
      <c r="AU132">
        <v>20</v>
      </c>
      <c r="AV132">
        <v>28</v>
      </c>
      <c r="AW132">
        <v>40</v>
      </c>
      <c r="AZ132">
        <v>222000</v>
      </c>
    </row>
    <row r="133" spans="1:57" x14ac:dyDescent="0.3">
      <c r="A133" s="7">
        <v>148</v>
      </c>
      <c r="B133" t="s">
        <v>1425</v>
      </c>
      <c r="C133" t="s">
        <v>1426</v>
      </c>
      <c r="D133" t="s">
        <v>2124</v>
      </c>
      <c r="E133" t="s">
        <v>62</v>
      </c>
      <c r="F133" t="s">
        <v>2037</v>
      </c>
      <c r="G133" t="s">
        <v>2125</v>
      </c>
      <c r="H133" s="3">
        <v>40955</v>
      </c>
      <c r="I133" t="s">
        <v>2126</v>
      </c>
      <c r="J133" t="s">
        <v>1430</v>
      </c>
      <c r="K133" t="s">
        <v>190</v>
      </c>
      <c r="L133">
        <v>15022369739</v>
      </c>
      <c r="M133">
        <v>15022369739</v>
      </c>
      <c r="N133" t="s">
        <v>2127</v>
      </c>
      <c r="O133" s="2">
        <v>45419</v>
      </c>
      <c r="P133" s="2">
        <v>46148</v>
      </c>
      <c r="Q133" t="s">
        <v>65</v>
      </c>
      <c r="R133" t="s">
        <v>86</v>
      </c>
      <c r="S133" t="s">
        <v>195</v>
      </c>
      <c r="T133" t="s">
        <v>2128</v>
      </c>
      <c r="U133" t="s">
        <v>2042</v>
      </c>
      <c r="V133" t="s">
        <v>57</v>
      </c>
      <c r="Z133" t="s">
        <v>113</v>
      </c>
      <c r="AA133" t="s">
        <v>159</v>
      </c>
      <c r="AB133" t="s">
        <v>65</v>
      </c>
      <c r="AC133">
        <v>930</v>
      </c>
      <c r="AD133" t="s">
        <v>69</v>
      </c>
      <c r="AE133">
        <v>16</v>
      </c>
      <c r="AF133">
        <v>470</v>
      </c>
      <c r="AO133" t="s">
        <v>83</v>
      </c>
      <c r="AP133" t="s">
        <v>93</v>
      </c>
      <c r="AQ133" t="s">
        <v>117</v>
      </c>
      <c r="AS133" t="s">
        <v>70</v>
      </c>
      <c r="AT133">
        <v>60</v>
      </c>
      <c r="AU133" t="s">
        <v>2129</v>
      </c>
      <c r="AV133">
        <v>27</v>
      </c>
      <c r="AW133">
        <v>16</v>
      </c>
      <c r="AZ133">
        <v>222000</v>
      </c>
      <c r="BA133" t="s">
        <v>166</v>
      </c>
    </row>
    <row r="134" spans="1:57" x14ac:dyDescent="0.3">
      <c r="A134" s="7">
        <v>149</v>
      </c>
      <c r="B134" t="s">
        <v>1425</v>
      </c>
      <c r="C134" t="s">
        <v>1426</v>
      </c>
      <c r="D134" t="s">
        <v>1471</v>
      </c>
      <c r="E134" t="s">
        <v>557</v>
      </c>
      <c r="I134" t="s">
        <v>1430</v>
      </c>
      <c r="R134" t="s">
        <v>1393</v>
      </c>
      <c r="V134" t="s">
        <v>57</v>
      </c>
      <c r="Z134" t="s">
        <v>113</v>
      </c>
    </row>
    <row r="135" spans="1:57" x14ac:dyDescent="0.3">
      <c r="A135" s="7">
        <v>150</v>
      </c>
      <c r="B135" t="s">
        <v>1425</v>
      </c>
      <c r="C135" t="s">
        <v>1426</v>
      </c>
      <c r="D135" t="s">
        <v>1666</v>
      </c>
      <c r="E135" t="s">
        <v>62</v>
      </c>
      <c r="F135" t="s">
        <v>1667</v>
      </c>
      <c r="G135" t="s">
        <v>1668</v>
      </c>
      <c r="H135" s="3">
        <v>39716</v>
      </c>
      <c r="I135" t="s">
        <v>1669</v>
      </c>
      <c r="J135" t="s">
        <v>1430</v>
      </c>
      <c r="K135" t="s">
        <v>1503</v>
      </c>
      <c r="L135">
        <v>17851246511</v>
      </c>
      <c r="M135">
        <v>17851246511</v>
      </c>
      <c r="N135" t="s">
        <v>1670</v>
      </c>
      <c r="O135" s="2">
        <v>45074</v>
      </c>
      <c r="P135" s="2">
        <v>45805</v>
      </c>
      <c r="Q135" t="s">
        <v>65</v>
      </c>
      <c r="R135" t="s">
        <v>593</v>
      </c>
      <c r="S135" t="s">
        <v>280</v>
      </c>
      <c r="T135" t="s">
        <v>1671</v>
      </c>
      <c r="U135" t="s">
        <v>1672</v>
      </c>
      <c r="V135" t="s">
        <v>57</v>
      </c>
      <c r="Z135" t="s">
        <v>113</v>
      </c>
      <c r="AA135" t="s">
        <v>159</v>
      </c>
      <c r="AB135" t="s">
        <v>65</v>
      </c>
      <c r="AC135">
        <v>950</v>
      </c>
      <c r="AD135" t="s">
        <v>69</v>
      </c>
      <c r="AE135">
        <v>40</v>
      </c>
      <c r="AF135">
        <v>355</v>
      </c>
      <c r="AP135" t="s">
        <v>93</v>
      </c>
      <c r="AR135" t="s">
        <v>1673</v>
      </c>
      <c r="AS135" t="s">
        <v>1674</v>
      </c>
      <c r="AT135">
        <v>60</v>
      </c>
      <c r="AU135">
        <v>20</v>
      </c>
      <c r="AV135">
        <v>28</v>
      </c>
      <c r="AW135">
        <v>40</v>
      </c>
      <c r="AZ135">
        <v>222000</v>
      </c>
    </row>
    <row r="136" spans="1:57" x14ac:dyDescent="0.3">
      <c r="A136" s="7">
        <v>151</v>
      </c>
      <c r="B136" t="s">
        <v>1425</v>
      </c>
      <c r="C136" t="s">
        <v>1426</v>
      </c>
      <c r="D136" t="s">
        <v>1764</v>
      </c>
      <c r="E136" t="s">
        <v>62</v>
      </c>
      <c r="F136" t="s">
        <v>1667</v>
      </c>
      <c r="G136" t="s">
        <v>1765</v>
      </c>
      <c r="H136" s="3">
        <v>39716</v>
      </c>
      <c r="I136" t="s">
        <v>269</v>
      </c>
      <c r="J136" t="s">
        <v>1766</v>
      </c>
      <c r="K136" t="s">
        <v>1459</v>
      </c>
      <c r="L136">
        <v>15052497954</v>
      </c>
      <c r="M136">
        <v>15052497954</v>
      </c>
      <c r="N136" t="s">
        <v>1767</v>
      </c>
      <c r="O136" s="2">
        <v>45037</v>
      </c>
      <c r="P136" s="2">
        <v>45768</v>
      </c>
      <c r="Q136" t="s">
        <v>65</v>
      </c>
      <c r="R136" t="s">
        <v>593</v>
      </c>
      <c r="S136" t="s">
        <v>87</v>
      </c>
      <c r="T136" t="s">
        <v>1768</v>
      </c>
      <c r="U136" t="s">
        <v>1672</v>
      </c>
      <c r="V136" t="s">
        <v>57</v>
      </c>
      <c r="X136" t="s">
        <v>1540</v>
      </c>
      <c r="Z136" t="s">
        <v>113</v>
      </c>
      <c r="AA136" t="s">
        <v>159</v>
      </c>
      <c r="AB136" t="s">
        <v>65</v>
      </c>
      <c r="AC136">
        <v>1190</v>
      </c>
      <c r="AD136" t="s">
        <v>69</v>
      </c>
      <c r="AE136">
        <v>40</v>
      </c>
      <c r="AF136">
        <v>355</v>
      </c>
      <c r="AP136" t="s">
        <v>93</v>
      </c>
      <c r="AR136" t="s">
        <v>1769</v>
      </c>
      <c r="AS136" t="s">
        <v>1674</v>
      </c>
      <c r="AT136">
        <v>60</v>
      </c>
      <c r="AU136">
        <v>20</v>
      </c>
      <c r="AV136">
        <v>28</v>
      </c>
      <c r="AW136">
        <v>40</v>
      </c>
      <c r="AZ136">
        <v>222000</v>
      </c>
    </row>
    <row r="137" spans="1:57" x14ac:dyDescent="0.3">
      <c r="A137" s="7">
        <v>152</v>
      </c>
      <c r="B137" t="s">
        <v>1425</v>
      </c>
      <c r="C137" t="s">
        <v>1426</v>
      </c>
      <c r="D137" t="s">
        <v>1770</v>
      </c>
      <c r="E137" t="s">
        <v>62</v>
      </c>
      <c r="F137" t="s">
        <v>1667</v>
      </c>
      <c r="G137" t="s">
        <v>1771</v>
      </c>
      <c r="H137" s="3">
        <v>39716</v>
      </c>
      <c r="I137" t="s">
        <v>1669</v>
      </c>
      <c r="J137" t="s">
        <v>1430</v>
      </c>
      <c r="K137" t="s">
        <v>1772</v>
      </c>
      <c r="L137">
        <v>15161368112</v>
      </c>
      <c r="M137">
        <v>15161368112</v>
      </c>
      <c r="N137" t="s">
        <v>1773</v>
      </c>
      <c r="O137" s="2">
        <v>45803</v>
      </c>
      <c r="P137" s="2">
        <v>46533</v>
      </c>
      <c r="Q137" t="s">
        <v>65</v>
      </c>
      <c r="R137" t="s">
        <v>593</v>
      </c>
      <c r="S137" t="s">
        <v>155</v>
      </c>
      <c r="T137" t="s">
        <v>1774</v>
      </c>
      <c r="U137" t="s">
        <v>1775</v>
      </c>
      <c r="V137" t="s">
        <v>57</v>
      </c>
      <c r="Z137" t="s">
        <v>113</v>
      </c>
      <c r="AA137" t="s">
        <v>159</v>
      </c>
      <c r="AB137" t="s">
        <v>65</v>
      </c>
      <c r="AC137">
        <v>950</v>
      </c>
      <c r="AD137" t="s">
        <v>69</v>
      </c>
      <c r="AE137">
        <v>40</v>
      </c>
      <c r="AF137">
        <v>355</v>
      </c>
      <c r="AP137" t="s">
        <v>93</v>
      </c>
      <c r="AR137" t="s">
        <v>1776</v>
      </c>
      <c r="AS137" t="s">
        <v>1674</v>
      </c>
      <c r="AT137">
        <v>60</v>
      </c>
      <c r="AU137">
        <v>20</v>
      </c>
      <c r="AV137">
        <v>28</v>
      </c>
      <c r="AW137">
        <v>40</v>
      </c>
      <c r="AZ137">
        <v>222000</v>
      </c>
      <c r="BA137" t="s">
        <v>1777</v>
      </c>
    </row>
    <row r="138" spans="1:57" x14ac:dyDescent="0.3">
      <c r="A138" s="7">
        <v>153</v>
      </c>
      <c r="B138" t="s">
        <v>1425</v>
      </c>
      <c r="C138" t="s">
        <v>1426</v>
      </c>
      <c r="D138" t="s">
        <v>2087</v>
      </c>
      <c r="E138" t="s">
        <v>62</v>
      </c>
      <c r="F138" t="s">
        <v>1667</v>
      </c>
      <c r="G138" t="s">
        <v>2088</v>
      </c>
      <c r="H138" s="3">
        <v>40505</v>
      </c>
      <c r="I138" t="s">
        <v>1568</v>
      </c>
      <c r="J138" t="s">
        <v>1430</v>
      </c>
      <c r="K138" t="s">
        <v>190</v>
      </c>
      <c r="L138">
        <v>15161340623</v>
      </c>
      <c r="M138">
        <v>15161340623</v>
      </c>
      <c r="N138" t="s">
        <v>2089</v>
      </c>
      <c r="O138" s="2">
        <v>45419</v>
      </c>
      <c r="P138" s="2">
        <v>46148</v>
      </c>
      <c r="Q138" t="s">
        <v>65</v>
      </c>
      <c r="R138" t="s">
        <v>593</v>
      </c>
      <c r="S138" t="s">
        <v>195</v>
      </c>
      <c r="T138" t="s">
        <v>2090</v>
      </c>
      <c r="U138" t="s">
        <v>67</v>
      </c>
      <c r="V138" t="s">
        <v>57</v>
      </c>
      <c r="Z138" t="s">
        <v>113</v>
      </c>
      <c r="AA138" t="s">
        <v>159</v>
      </c>
      <c r="AB138" t="s">
        <v>65</v>
      </c>
      <c r="AC138">
        <v>1190</v>
      </c>
      <c r="AD138" t="s">
        <v>69</v>
      </c>
      <c r="AE138">
        <v>40</v>
      </c>
      <c r="AF138">
        <v>1480</v>
      </c>
      <c r="AP138" t="s">
        <v>163</v>
      </c>
      <c r="AR138" t="s">
        <v>2091</v>
      </c>
      <c r="AS138" t="s">
        <v>70</v>
      </c>
      <c r="AT138" t="s">
        <v>1139</v>
      </c>
      <c r="AU138" t="s">
        <v>1571</v>
      </c>
      <c r="AV138">
        <v>27</v>
      </c>
      <c r="AW138">
        <v>40</v>
      </c>
      <c r="AX138">
        <v>40</v>
      </c>
      <c r="AZ138">
        <v>222000</v>
      </c>
      <c r="BA138" t="s">
        <v>166</v>
      </c>
    </row>
    <row r="139" spans="1:57" x14ac:dyDescent="0.3">
      <c r="A139" s="7">
        <v>154</v>
      </c>
      <c r="B139" t="s">
        <v>1425</v>
      </c>
      <c r="C139" t="s">
        <v>1426</v>
      </c>
      <c r="D139" t="s">
        <v>1743</v>
      </c>
      <c r="E139" t="s">
        <v>124</v>
      </c>
      <c r="F139" t="s">
        <v>1744</v>
      </c>
      <c r="G139">
        <v>61052609</v>
      </c>
      <c r="I139" t="s">
        <v>1745</v>
      </c>
      <c r="J139" t="s">
        <v>1430</v>
      </c>
      <c r="K139" t="s">
        <v>204</v>
      </c>
      <c r="L139">
        <v>13961385712</v>
      </c>
      <c r="N139" t="s">
        <v>1746</v>
      </c>
      <c r="O139" s="2">
        <v>43209</v>
      </c>
      <c r="P139" s="2">
        <v>43940</v>
      </c>
      <c r="Q139" t="s">
        <v>65</v>
      </c>
      <c r="R139" t="s">
        <v>279</v>
      </c>
      <c r="S139" t="s">
        <v>195</v>
      </c>
      <c r="T139" t="s">
        <v>1747</v>
      </c>
      <c r="U139" t="s">
        <v>124</v>
      </c>
      <c r="V139" t="s">
        <v>57</v>
      </c>
      <c r="Z139" t="s">
        <v>113</v>
      </c>
      <c r="AB139" t="s">
        <v>65</v>
      </c>
      <c r="AD139" t="s">
        <v>69</v>
      </c>
      <c r="AE139">
        <v>15000</v>
      </c>
      <c r="AF139">
        <v>0</v>
      </c>
      <c r="AP139" t="s">
        <v>93</v>
      </c>
      <c r="AS139" t="s">
        <v>1748</v>
      </c>
      <c r="AU139">
        <v>0</v>
      </c>
      <c r="AW139">
        <v>15000</v>
      </c>
      <c r="AZ139">
        <v>222000</v>
      </c>
    </row>
    <row r="140" spans="1:57" x14ac:dyDescent="0.3">
      <c r="A140" s="7">
        <v>155</v>
      </c>
      <c r="B140" t="s">
        <v>1425</v>
      </c>
      <c r="C140" t="s">
        <v>1426</v>
      </c>
      <c r="D140" t="s">
        <v>1836</v>
      </c>
      <c r="E140" t="s">
        <v>62</v>
      </c>
      <c r="F140" t="s">
        <v>439</v>
      </c>
      <c r="G140" t="s">
        <v>60</v>
      </c>
      <c r="H140" t="s">
        <v>83</v>
      </c>
      <c r="I140" t="s">
        <v>269</v>
      </c>
      <c r="J140" t="s">
        <v>1430</v>
      </c>
      <c r="K140" t="s">
        <v>204</v>
      </c>
      <c r="L140">
        <v>18352821898</v>
      </c>
      <c r="N140" t="s">
        <v>1837</v>
      </c>
      <c r="O140" s="2">
        <v>44521</v>
      </c>
      <c r="P140" s="2">
        <v>45251</v>
      </c>
      <c r="Q140" t="s">
        <v>65</v>
      </c>
      <c r="R140" t="s">
        <v>279</v>
      </c>
      <c r="S140" t="s">
        <v>182</v>
      </c>
      <c r="T140" t="s">
        <v>1838</v>
      </c>
      <c r="U140" t="s">
        <v>67</v>
      </c>
      <c r="V140" t="s">
        <v>57</v>
      </c>
      <c r="X140" t="s">
        <v>1540</v>
      </c>
      <c r="Z140" t="s">
        <v>113</v>
      </c>
      <c r="AA140" t="s">
        <v>159</v>
      </c>
      <c r="AB140" t="s">
        <v>65</v>
      </c>
      <c r="AD140" t="s">
        <v>69</v>
      </c>
      <c r="AE140">
        <v>16</v>
      </c>
      <c r="AF140">
        <v>520</v>
      </c>
      <c r="AK140">
        <v>1</v>
      </c>
      <c r="AP140" t="s">
        <v>93</v>
      </c>
      <c r="AS140" t="s">
        <v>210</v>
      </c>
      <c r="AT140">
        <v>48</v>
      </c>
      <c r="AU140">
        <v>28</v>
      </c>
      <c r="AV140">
        <v>27</v>
      </c>
      <c r="AW140">
        <v>16</v>
      </c>
      <c r="AZ140">
        <v>222000</v>
      </c>
    </row>
    <row r="141" spans="1:57" x14ac:dyDescent="0.3">
      <c r="A141" s="7">
        <v>156</v>
      </c>
      <c r="B141" t="s">
        <v>1425</v>
      </c>
      <c r="C141" t="s">
        <v>1426</v>
      </c>
      <c r="D141" t="s">
        <v>1863</v>
      </c>
      <c r="E141" t="s">
        <v>214</v>
      </c>
      <c r="F141" t="s">
        <v>341</v>
      </c>
      <c r="G141">
        <v>5060</v>
      </c>
      <c r="I141" t="s">
        <v>228</v>
      </c>
      <c r="J141" t="s">
        <v>1430</v>
      </c>
      <c r="K141" t="s">
        <v>204</v>
      </c>
      <c r="L141">
        <v>13961385712</v>
      </c>
      <c r="N141" t="s">
        <v>1864</v>
      </c>
      <c r="O141" s="2">
        <v>43971</v>
      </c>
      <c r="P141" s="2">
        <v>44316</v>
      </c>
      <c r="Q141" t="s">
        <v>65</v>
      </c>
      <c r="R141" t="s">
        <v>279</v>
      </c>
      <c r="S141" t="s">
        <v>182</v>
      </c>
      <c r="T141" t="s">
        <v>1865</v>
      </c>
      <c r="U141" t="s">
        <v>214</v>
      </c>
      <c r="V141" t="s">
        <v>57</v>
      </c>
      <c r="X141" t="s">
        <v>1540</v>
      </c>
      <c r="Z141" t="s">
        <v>113</v>
      </c>
      <c r="AB141" t="s">
        <v>65</v>
      </c>
      <c r="AD141" t="s">
        <v>69</v>
      </c>
      <c r="AE141">
        <v>25000</v>
      </c>
      <c r="AP141" t="s">
        <v>93</v>
      </c>
      <c r="AS141" t="s">
        <v>344</v>
      </c>
      <c r="AU141">
        <v>17</v>
      </c>
      <c r="AW141">
        <v>25000</v>
      </c>
      <c r="AZ141">
        <v>222000</v>
      </c>
    </row>
    <row r="142" spans="1:57" x14ac:dyDescent="0.3">
      <c r="A142" s="7">
        <v>157</v>
      </c>
      <c r="B142" t="s">
        <v>1425</v>
      </c>
      <c r="C142" t="s">
        <v>1426</v>
      </c>
      <c r="D142" t="s">
        <v>1872</v>
      </c>
      <c r="E142" t="s">
        <v>214</v>
      </c>
      <c r="F142" t="s">
        <v>341</v>
      </c>
      <c r="G142">
        <v>60123</v>
      </c>
      <c r="I142" t="s">
        <v>228</v>
      </c>
      <c r="J142" t="s">
        <v>1430</v>
      </c>
      <c r="K142" t="s">
        <v>204</v>
      </c>
      <c r="L142">
        <v>13961385712</v>
      </c>
      <c r="N142" t="s">
        <v>1873</v>
      </c>
      <c r="O142" s="2">
        <v>43971</v>
      </c>
      <c r="P142" s="2">
        <v>44316</v>
      </c>
      <c r="Q142" t="s">
        <v>65</v>
      </c>
      <c r="R142" t="s">
        <v>279</v>
      </c>
      <c r="S142" t="s">
        <v>182</v>
      </c>
      <c r="T142" t="s">
        <v>1874</v>
      </c>
      <c r="U142" t="s">
        <v>214</v>
      </c>
      <c r="V142" t="s">
        <v>57</v>
      </c>
      <c r="X142" t="s">
        <v>1540</v>
      </c>
      <c r="Z142" t="s">
        <v>113</v>
      </c>
      <c r="AB142" t="s">
        <v>65</v>
      </c>
      <c r="AD142" t="s">
        <v>69</v>
      </c>
      <c r="AE142">
        <v>25000</v>
      </c>
      <c r="AP142" t="s">
        <v>93</v>
      </c>
      <c r="AS142" t="s">
        <v>344</v>
      </c>
      <c r="AU142">
        <v>17</v>
      </c>
      <c r="AW142">
        <v>25000</v>
      </c>
      <c r="AZ142">
        <v>222000</v>
      </c>
    </row>
    <row r="143" spans="1:57" x14ac:dyDescent="0.3">
      <c r="A143" s="7">
        <v>158</v>
      </c>
      <c r="B143" t="s">
        <v>1425</v>
      </c>
      <c r="C143" t="s">
        <v>1426</v>
      </c>
      <c r="D143" t="s">
        <v>1875</v>
      </c>
      <c r="E143" t="s">
        <v>214</v>
      </c>
      <c r="F143" t="s">
        <v>341</v>
      </c>
      <c r="G143">
        <v>5059</v>
      </c>
      <c r="I143" t="s">
        <v>228</v>
      </c>
      <c r="J143" t="s">
        <v>1430</v>
      </c>
      <c r="K143" t="s">
        <v>204</v>
      </c>
      <c r="L143">
        <v>13961385712</v>
      </c>
      <c r="N143" t="s">
        <v>1876</v>
      </c>
      <c r="O143" s="2">
        <v>43971</v>
      </c>
      <c r="P143" s="2">
        <v>44316</v>
      </c>
      <c r="Q143" t="s">
        <v>65</v>
      </c>
      <c r="R143" t="s">
        <v>279</v>
      </c>
      <c r="S143" t="s">
        <v>182</v>
      </c>
      <c r="T143" t="s">
        <v>1877</v>
      </c>
      <c r="U143" t="s">
        <v>214</v>
      </c>
      <c r="V143" t="s">
        <v>57</v>
      </c>
      <c r="X143" t="s">
        <v>1540</v>
      </c>
      <c r="Z143" t="s">
        <v>113</v>
      </c>
      <c r="AB143" t="s">
        <v>65</v>
      </c>
      <c r="AD143" t="s">
        <v>69</v>
      </c>
      <c r="AE143">
        <v>25</v>
      </c>
      <c r="AP143" t="s">
        <v>93</v>
      </c>
      <c r="AS143" t="s">
        <v>344</v>
      </c>
      <c r="AU143">
        <v>17</v>
      </c>
      <c r="AW143">
        <v>25</v>
      </c>
      <c r="AZ143">
        <v>222000</v>
      </c>
    </row>
    <row r="144" spans="1:57" x14ac:dyDescent="0.3">
      <c r="A144" s="7">
        <v>159</v>
      </c>
      <c r="B144" t="s">
        <v>1425</v>
      </c>
      <c r="C144" t="s">
        <v>1426</v>
      </c>
      <c r="D144" t="s">
        <v>1879</v>
      </c>
      <c r="E144" t="s">
        <v>214</v>
      </c>
      <c r="F144" t="s">
        <v>341</v>
      </c>
      <c r="G144">
        <v>60124</v>
      </c>
      <c r="I144" t="s">
        <v>228</v>
      </c>
      <c r="J144" t="s">
        <v>1430</v>
      </c>
      <c r="K144" t="s">
        <v>204</v>
      </c>
      <c r="L144">
        <v>13961385712</v>
      </c>
      <c r="N144" t="s">
        <v>1880</v>
      </c>
      <c r="O144" s="2">
        <v>43971</v>
      </c>
      <c r="P144" s="2">
        <v>44316</v>
      </c>
      <c r="Q144" t="s">
        <v>65</v>
      </c>
      <c r="R144" t="s">
        <v>279</v>
      </c>
      <c r="S144" t="s">
        <v>182</v>
      </c>
      <c r="T144" t="s">
        <v>1881</v>
      </c>
      <c r="U144" t="s">
        <v>214</v>
      </c>
      <c r="V144" t="s">
        <v>57</v>
      </c>
      <c r="X144" t="s">
        <v>1540</v>
      </c>
      <c r="Z144" t="s">
        <v>113</v>
      </c>
      <c r="AB144" t="s">
        <v>65</v>
      </c>
      <c r="AD144" t="s">
        <v>69</v>
      </c>
      <c r="AE144">
        <v>25</v>
      </c>
      <c r="AP144" t="s">
        <v>93</v>
      </c>
      <c r="AS144" t="s">
        <v>344</v>
      </c>
      <c r="AU144">
        <v>17</v>
      </c>
      <c r="AW144">
        <v>25</v>
      </c>
      <c r="AZ144">
        <v>222000</v>
      </c>
    </row>
    <row r="145" spans="1:54" x14ac:dyDescent="0.3">
      <c r="A145" s="7">
        <v>160</v>
      </c>
      <c r="B145" t="s">
        <v>1425</v>
      </c>
      <c r="C145" t="s">
        <v>1426</v>
      </c>
      <c r="D145" t="s">
        <v>1882</v>
      </c>
      <c r="E145" t="s">
        <v>235</v>
      </c>
      <c r="F145" t="s">
        <v>1883</v>
      </c>
      <c r="G145">
        <v>50600071</v>
      </c>
      <c r="H145" t="s">
        <v>83</v>
      </c>
      <c r="I145" t="s">
        <v>1884</v>
      </c>
      <c r="J145" t="s">
        <v>1430</v>
      </c>
      <c r="K145" t="s">
        <v>1540</v>
      </c>
      <c r="L145">
        <v>18352821898</v>
      </c>
      <c r="N145" t="s">
        <v>1885</v>
      </c>
      <c r="O145" s="2">
        <v>45411</v>
      </c>
      <c r="P145" s="2">
        <v>46140</v>
      </c>
      <c r="Q145" t="s">
        <v>65</v>
      </c>
      <c r="R145" t="s">
        <v>279</v>
      </c>
      <c r="S145" t="s">
        <v>87</v>
      </c>
      <c r="T145" t="s">
        <v>1886</v>
      </c>
      <c r="U145" t="s">
        <v>235</v>
      </c>
      <c r="V145" t="s">
        <v>57</v>
      </c>
      <c r="X145" t="s">
        <v>204</v>
      </c>
      <c r="Z145" t="s">
        <v>113</v>
      </c>
      <c r="AA145" t="s">
        <v>159</v>
      </c>
      <c r="AB145" t="s">
        <v>65</v>
      </c>
      <c r="AC145">
        <v>600</v>
      </c>
      <c r="AD145" t="s">
        <v>69</v>
      </c>
      <c r="AE145">
        <v>16</v>
      </c>
      <c r="AF145">
        <v>0</v>
      </c>
      <c r="AH145">
        <v>16.5</v>
      </c>
      <c r="AP145" t="s">
        <v>93</v>
      </c>
      <c r="AQ145" t="s">
        <v>94</v>
      </c>
      <c r="AS145" t="s">
        <v>1887</v>
      </c>
      <c r="AT145" t="s">
        <v>1888</v>
      </c>
      <c r="AU145" t="s">
        <v>1889</v>
      </c>
      <c r="AV145">
        <v>15</v>
      </c>
      <c r="AW145" t="s">
        <v>1890</v>
      </c>
      <c r="AZ145">
        <v>222000</v>
      </c>
      <c r="BB145" t="s">
        <v>248</v>
      </c>
    </row>
    <row r="146" spans="1:54" x14ac:dyDescent="0.3">
      <c r="A146" s="7">
        <v>161</v>
      </c>
      <c r="B146" t="s">
        <v>1425</v>
      </c>
      <c r="C146" t="s">
        <v>1426</v>
      </c>
      <c r="D146" t="s">
        <v>1891</v>
      </c>
      <c r="E146" t="s">
        <v>124</v>
      </c>
      <c r="F146" t="s">
        <v>1744</v>
      </c>
      <c r="G146">
        <v>50606071</v>
      </c>
      <c r="I146" t="s">
        <v>1745</v>
      </c>
      <c r="J146" t="s">
        <v>1430</v>
      </c>
      <c r="K146" t="s">
        <v>204</v>
      </c>
      <c r="L146">
        <v>13961385712</v>
      </c>
      <c r="N146" t="s">
        <v>1892</v>
      </c>
      <c r="O146" s="2">
        <v>43209</v>
      </c>
      <c r="P146" s="2">
        <v>43940</v>
      </c>
      <c r="Q146" t="s">
        <v>65</v>
      </c>
      <c r="R146" t="s">
        <v>279</v>
      </c>
      <c r="S146" t="s">
        <v>195</v>
      </c>
      <c r="T146" t="s">
        <v>1893</v>
      </c>
      <c r="U146" t="s">
        <v>124</v>
      </c>
      <c r="V146" t="s">
        <v>57</v>
      </c>
      <c r="Z146" t="s">
        <v>113</v>
      </c>
      <c r="AB146" t="s">
        <v>65</v>
      </c>
      <c r="AD146" t="s">
        <v>69</v>
      </c>
      <c r="AE146">
        <v>15000</v>
      </c>
      <c r="AF146">
        <v>0</v>
      </c>
      <c r="AP146" t="s">
        <v>93</v>
      </c>
      <c r="AS146" t="s">
        <v>1748</v>
      </c>
      <c r="AU146">
        <v>0</v>
      </c>
      <c r="AW146">
        <v>15000</v>
      </c>
      <c r="AZ146">
        <v>222000</v>
      </c>
    </row>
    <row r="147" spans="1:54" x14ac:dyDescent="0.3">
      <c r="A147" s="7">
        <v>162</v>
      </c>
      <c r="B147" t="s">
        <v>1425</v>
      </c>
      <c r="C147" t="s">
        <v>1426</v>
      </c>
      <c r="D147" t="s">
        <v>1894</v>
      </c>
      <c r="E147" t="s">
        <v>557</v>
      </c>
      <c r="F147" t="s">
        <v>1895</v>
      </c>
      <c r="G147">
        <v>10793</v>
      </c>
      <c r="H147" s="3">
        <v>37257</v>
      </c>
      <c r="I147" t="s">
        <v>1600</v>
      </c>
      <c r="J147" t="s">
        <v>1430</v>
      </c>
      <c r="K147" t="s">
        <v>1601</v>
      </c>
      <c r="L147">
        <v>18061393719</v>
      </c>
      <c r="M147">
        <v>18061393719</v>
      </c>
      <c r="N147" t="s">
        <v>1896</v>
      </c>
      <c r="O147" s="2">
        <v>44671</v>
      </c>
      <c r="P147" s="2">
        <v>45036</v>
      </c>
      <c r="Q147" t="s">
        <v>65</v>
      </c>
      <c r="R147" t="s">
        <v>279</v>
      </c>
      <c r="S147" t="s">
        <v>401</v>
      </c>
      <c r="T147" t="s">
        <v>1897</v>
      </c>
      <c r="U147" t="s">
        <v>557</v>
      </c>
      <c r="V147" t="s">
        <v>57</v>
      </c>
      <c r="X147" t="s">
        <v>1580</v>
      </c>
      <c r="Z147" t="s">
        <v>113</v>
      </c>
      <c r="AA147" t="s">
        <v>159</v>
      </c>
      <c r="AB147" t="s">
        <v>65</v>
      </c>
      <c r="AC147">
        <v>815</v>
      </c>
      <c r="AD147" t="s">
        <v>69</v>
      </c>
      <c r="AE147">
        <v>45</v>
      </c>
      <c r="AF147" t="s">
        <v>83</v>
      </c>
      <c r="AP147" t="s">
        <v>93</v>
      </c>
      <c r="AS147" t="s">
        <v>1898</v>
      </c>
      <c r="AT147" t="s">
        <v>1899</v>
      </c>
      <c r="AU147">
        <v>15.1</v>
      </c>
      <c r="AZ147">
        <v>222000</v>
      </c>
    </row>
    <row r="148" spans="1:54" x14ac:dyDescent="0.3">
      <c r="A148" s="7">
        <v>163</v>
      </c>
      <c r="B148" t="s">
        <v>1425</v>
      </c>
      <c r="C148" t="s">
        <v>1426</v>
      </c>
      <c r="D148" t="s">
        <v>1900</v>
      </c>
      <c r="E148" t="s">
        <v>214</v>
      </c>
      <c r="F148" t="s">
        <v>341</v>
      </c>
      <c r="G148">
        <v>70187</v>
      </c>
      <c r="I148" t="s">
        <v>228</v>
      </c>
      <c r="J148" t="s">
        <v>1430</v>
      </c>
      <c r="K148" t="s">
        <v>204</v>
      </c>
      <c r="L148">
        <v>18352821898</v>
      </c>
      <c r="N148" t="s">
        <v>1901</v>
      </c>
      <c r="O148" s="2">
        <v>44295</v>
      </c>
      <c r="P148" s="2">
        <v>44660</v>
      </c>
      <c r="Q148" t="s">
        <v>65</v>
      </c>
      <c r="R148" t="s">
        <v>279</v>
      </c>
      <c r="S148" t="s">
        <v>182</v>
      </c>
      <c r="T148" t="s">
        <v>1902</v>
      </c>
      <c r="U148" t="s">
        <v>214</v>
      </c>
      <c r="V148" t="s">
        <v>57</v>
      </c>
      <c r="X148" t="s">
        <v>1540</v>
      </c>
      <c r="Z148" t="s">
        <v>113</v>
      </c>
      <c r="AA148" t="s">
        <v>159</v>
      </c>
      <c r="AB148" t="s">
        <v>65</v>
      </c>
      <c r="AD148" t="s">
        <v>69</v>
      </c>
      <c r="AE148">
        <v>25</v>
      </c>
      <c r="AF148">
        <v>102</v>
      </c>
      <c r="AP148" t="s">
        <v>93</v>
      </c>
      <c r="AS148" t="s">
        <v>344</v>
      </c>
      <c r="AT148">
        <v>1.75</v>
      </c>
      <c r="AU148">
        <v>22</v>
      </c>
      <c r="AV148">
        <v>17</v>
      </c>
      <c r="AZ148">
        <v>222000</v>
      </c>
    </row>
    <row r="149" spans="1:54" x14ac:dyDescent="0.3">
      <c r="A149" s="7">
        <v>164</v>
      </c>
      <c r="B149" t="s">
        <v>1425</v>
      </c>
      <c r="C149" t="s">
        <v>1426</v>
      </c>
      <c r="D149" t="s">
        <v>1925</v>
      </c>
      <c r="E149" t="s">
        <v>214</v>
      </c>
      <c r="F149" t="s">
        <v>341</v>
      </c>
      <c r="G149">
        <v>70186</v>
      </c>
      <c r="I149" t="s">
        <v>228</v>
      </c>
      <c r="J149" t="s">
        <v>1430</v>
      </c>
      <c r="K149" t="s">
        <v>204</v>
      </c>
      <c r="L149">
        <v>18352821898</v>
      </c>
      <c r="N149" t="s">
        <v>1926</v>
      </c>
      <c r="O149" s="2">
        <v>44295</v>
      </c>
      <c r="P149" s="2">
        <v>44660</v>
      </c>
      <c r="Q149" t="s">
        <v>65</v>
      </c>
      <c r="R149" t="s">
        <v>279</v>
      </c>
      <c r="S149" t="s">
        <v>182</v>
      </c>
      <c r="T149" t="s">
        <v>1927</v>
      </c>
      <c r="U149" t="s">
        <v>214</v>
      </c>
      <c r="V149" t="s">
        <v>57</v>
      </c>
      <c r="X149" t="s">
        <v>1540</v>
      </c>
      <c r="Z149" t="s">
        <v>113</v>
      </c>
      <c r="AA149" t="s">
        <v>159</v>
      </c>
      <c r="AB149" t="s">
        <v>65</v>
      </c>
      <c r="AD149" t="s">
        <v>69</v>
      </c>
      <c r="AE149">
        <v>25</v>
      </c>
      <c r="AF149">
        <v>102</v>
      </c>
      <c r="AP149" t="s">
        <v>93</v>
      </c>
      <c r="AS149" t="s">
        <v>344</v>
      </c>
      <c r="AT149">
        <v>1.75</v>
      </c>
      <c r="AU149">
        <v>22</v>
      </c>
      <c r="AV149">
        <v>17</v>
      </c>
      <c r="AZ149">
        <v>222000</v>
      </c>
    </row>
    <row r="150" spans="1:54" x14ac:dyDescent="0.3">
      <c r="A150" s="7">
        <v>165</v>
      </c>
      <c r="B150" t="s">
        <v>1425</v>
      </c>
      <c r="C150" t="s">
        <v>1426</v>
      </c>
      <c r="D150" t="s">
        <v>1928</v>
      </c>
      <c r="E150" t="s">
        <v>214</v>
      </c>
      <c r="F150" t="s">
        <v>341</v>
      </c>
      <c r="G150">
        <v>70181</v>
      </c>
      <c r="I150" t="s">
        <v>228</v>
      </c>
      <c r="J150" t="s">
        <v>1430</v>
      </c>
      <c r="K150" t="s">
        <v>204</v>
      </c>
      <c r="L150">
        <v>18352821898</v>
      </c>
      <c r="N150" t="s">
        <v>1929</v>
      </c>
      <c r="O150" s="2">
        <v>44295</v>
      </c>
      <c r="P150" s="2">
        <v>44660</v>
      </c>
      <c r="Q150" t="s">
        <v>65</v>
      </c>
      <c r="R150" t="s">
        <v>279</v>
      </c>
      <c r="S150" t="s">
        <v>182</v>
      </c>
      <c r="T150" t="s">
        <v>1930</v>
      </c>
      <c r="U150" t="s">
        <v>214</v>
      </c>
      <c r="V150" t="s">
        <v>57</v>
      </c>
      <c r="X150" t="s">
        <v>1540</v>
      </c>
      <c r="Z150" t="s">
        <v>113</v>
      </c>
      <c r="AA150" t="s">
        <v>159</v>
      </c>
      <c r="AB150" t="s">
        <v>65</v>
      </c>
      <c r="AD150" t="s">
        <v>69</v>
      </c>
      <c r="AE150">
        <v>25</v>
      </c>
      <c r="AF150">
        <v>102</v>
      </c>
      <c r="AP150" t="s">
        <v>93</v>
      </c>
      <c r="AS150" t="s">
        <v>344</v>
      </c>
      <c r="AT150">
        <v>1.75</v>
      </c>
      <c r="AU150">
        <v>22</v>
      </c>
      <c r="AV150">
        <v>17</v>
      </c>
      <c r="AZ150">
        <v>222000</v>
      </c>
    </row>
    <row r="151" spans="1:54" x14ac:dyDescent="0.3">
      <c r="A151" s="7">
        <v>166</v>
      </c>
      <c r="B151" t="s">
        <v>1425</v>
      </c>
      <c r="C151" t="s">
        <v>1426</v>
      </c>
      <c r="D151" t="s">
        <v>1931</v>
      </c>
      <c r="E151" t="s">
        <v>214</v>
      </c>
      <c r="F151" t="s">
        <v>341</v>
      </c>
      <c r="G151">
        <v>70156</v>
      </c>
      <c r="I151" t="s">
        <v>228</v>
      </c>
      <c r="J151" t="s">
        <v>1430</v>
      </c>
      <c r="K151" t="s">
        <v>204</v>
      </c>
      <c r="L151">
        <v>18352821898</v>
      </c>
      <c r="N151" t="s">
        <v>1932</v>
      </c>
      <c r="O151" s="2">
        <v>44295</v>
      </c>
      <c r="P151" s="2">
        <v>44660</v>
      </c>
      <c r="Q151" t="s">
        <v>65</v>
      </c>
      <c r="R151" t="s">
        <v>279</v>
      </c>
      <c r="S151" t="s">
        <v>182</v>
      </c>
      <c r="T151" t="s">
        <v>1933</v>
      </c>
      <c r="U151" t="s">
        <v>214</v>
      </c>
      <c r="V151" t="s">
        <v>57</v>
      </c>
      <c r="X151" t="s">
        <v>1540</v>
      </c>
      <c r="Z151" t="s">
        <v>113</v>
      </c>
      <c r="AA151" t="s">
        <v>159</v>
      </c>
      <c r="AB151" t="s">
        <v>65</v>
      </c>
      <c r="AD151" t="s">
        <v>69</v>
      </c>
      <c r="AE151">
        <v>25</v>
      </c>
      <c r="AF151">
        <v>102</v>
      </c>
      <c r="AP151" t="s">
        <v>93</v>
      </c>
      <c r="AS151" t="s">
        <v>344</v>
      </c>
      <c r="AT151">
        <v>1.75</v>
      </c>
      <c r="AU151">
        <v>22</v>
      </c>
      <c r="AV151">
        <v>17</v>
      </c>
      <c r="AZ151">
        <v>222000</v>
      </c>
    </row>
    <row r="152" spans="1:54" x14ac:dyDescent="0.3">
      <c r="A152" s="7">
        <v>167</v>
      </c>
      <c r="B152" t="s">
        <v>1425</v>
      </c>
      <c r="C152" t="s">
        <v>1426</v>
      </c>
      <c r="D152" t="s">
        <v>1934</v>
      </c>
      <c r="E152" t="s">
        <v>214</v>
      </c>
      <c r="F152" t="s">
        <v>341</v>
      </c>
      <c r="G152">
        <v>60119</v>
      </c>
      <c r="I152" t="s">
        <v>228</v>
      </c>
      <c r="J152" t="s">
        <v>1430</v>
      </c>
      <c r="K152" t="s">
        <v>204</v>
      </c>
      <c r="L152">
        <v>18352821898</v>
      </c>
      <c r="N152" t="s">
        <v>1935</v>
      </c>
      <c r="O152" s="2">
        <v>44295</v>
      </c>
      <c r="P152" s="2">
        <v>44660</v>
      </c>
      <c r="Q152" t="s">
        <v>65</v>
      </c>
      <c r="R152" t="s">
        <v>279</v>
      </c>
      <c r="S152" t="s">
        <v>182</v>
      </c>
      <c r="T152" t="s">
        <v>1936</v>
      </c>
      <c r="U152" t="s">
        <v>214</v>
      </c>
      <c r="V152" t="s">
        <v>57</v>
      </c>
      <c r="X152" t="s">
        <v>1540</v>
      </c>
      <c r="Z152" t="s">
        <v>113</v>
      </c>
      <c r="AA152" t="s">
        <v>159</v>
      </c>
      <c r="AB152" t="s">
        <v>65</v>
      </c>
      <c r="AD152" t="s">
        <v>69</v>
      </c>
      <c r="AE152">
        <v>25</v>
      </c>
      <c r="AF152">
        <v>102</v>
      </c>
      <c r="AP152" t="s">
        <v>93</v>
      </c>
      <c r="AS152" t="s">
        <v>344</v>
      </c>
      <c r="AT152">
        <v>1.75</v>
      </c>
      <c r="AU152">
        <v>22</v>
      </c>
      <c r="AV152">
        <v>17</v>
      </c>
      <c r="AZ152">
        <v>222000</v>
      </c>
    </row>
    <row r="153" spans="1:54" x14ac:dyDescent="0.3">
      <c r="A153" s="7">
        <v>168</v>
      </c>
      <c r="B153" t="s">
        <v>1425</v>
      </c>
      <c r="C153" t="s">
        <v>1426</v>
      </c>
      <c r="D153" t="s">
        <v>1937</v>
      </c>
      <c r="E153" t="s">
        <v>214</v>
      </c>
      <c r="F153" t="s">
        <v>341</v>
      </c>
      <c r="G153">
        <v>60120</v>
      </c>
      <c r="I153" t="s">
        <v>228</v>
      </c>
      <c r="J153" t="s">
        <v>1430</v>
      </c>
      <c r="K153" t="s">
        <v>204</v>
      </c>
      <c r="L153">
        <v>18352821898</v>
      </c>
      <c r="N153" t="s">
        <v>1938</v>
      </c>
      <c r="O153" s="2">
        <v>44295</v>
      </c>
      <c r="P153" s="2">
        <v>44660</v>
      </c>
      <c r="Q153" t="s">
        <v>65</v>
      </c>
      <c r="R153" t="s">
        <v>279</v>
      </c>
      <c r="S153" t="s">
        <v>182</v>
      </c>
      <c r="T153" t="s">
        <v>1939</v>
      </c>
      <c r="U153" t="s">
        <v>214</v>
      </c>
      <c r="V153" t="s">
        <v>57</v>
      </c>
      <c r="X153" t="s">
        <v>1540</v>
      </c>
      <c r="Z153" t="s">
        <v>113</v>
      </c>
      <c r="AA153" t="s">
        <v>159</v>
      </c>
      <c r="AB153" t="s">
        <v>65</v>
      </c>
      <c r="AD153" t="s">
        <v>69</v>
      </c>
      <c r="AE153">
        <v>25</v>
      </c>
      <c r="AF153">
        <v>102</v>
      </c>
      <c r="AP153" t="s">
        <v>93</v>
      </c>
      <c r="AS153" t="s">
        <v>344</v>
      </c>
      <c r="AT153">
        <v>1.75</v>
      </c>
      <c r="AU153">
        <v>22</v>
      </c>
      <c r="AV153">
        <v>17</v>
      </c>
      <c r="AZ153">
        <v>222000</v>
      </c>
    </row>
    <row r="154" spans="1:54" x14ac:dyDescent="0.3">
      <c r="A154" s="7">
        <v>169</v>
      </c>
      <c r="B154" t="s">
        <v>1425</v>
      </c>
      <c r="C154" t="s">
        <v>1426</v>
      </c>
      <c r="D154" t="s">
        <v>1940</v>
      </c>
      <c r="E154" t="s">
        <v>214</v>
      </c>
      <c r="F154" t="s">
        <v>341</v>
      </c>
      <c r="G154">
        <v>60118</v>
      </c>
      <c r="I154" t="s">
        <v>228</v>
      </c>
      <c r="J154" t="s">
        <v>1430</v>
      </c>
      <c r="K154" t="s">
        <v>204</v>
      </c>
      <c r="L154">
        <v>18352821898</v>
      </c>
      <c r="N154" t="s">
        <v>1941</v>
      </c>
      <c r="O154" s="2">
        <v>44295</v>
      </c>
      <c r="P154" s="2">
        <v>44660</v>
      </c>
      <c r="Q154" t="s">
        <v>65</v>
      </c>
      <c r="R154" t="s">
        <v>279</v>
      </c>
      <c r="S154" t="s">
        <v>182</v>
      </c>
      <c r="T154" t="s">
        <v>1942</v>
      </c>
      <c r="U154" t="s">
        <v>214</v>
      </c>
      <c r="V154" t="s">
        <v>57</v>
      </c>
      <c r="X154" t="s">
        <v>1540</v>
      </c>
      <c r="Z154" t="s">
        <v>113</v>
      </c>
      <c r="AA154" t="s">
        <v>159</v>
      </c>
      <c r="AB154" t="s">
        <v>65</v>
      </c>
      <c r="AD154" t="s">
        <v>69</v>
      </c>
      <c r="AE154">
        <v>25</v>
      </c>
      <c r="AF154">
        <v>102</v>
      </c>
      <c r="AP154" t="s">
        <v>93</v>
      </c>
      <c r="AS154" t="s">
        <v>344</v>
      </c>
      <c r="AT154">
        <v>1.75</v>
      </c>
      <c r="AU154">
        <v>22</v>
      </c>
      <c r="AV154">
        <v>17</v>
      </c>
      <c r="AZ154">
        <v>222042</v>
      </c>
    </row>
    <row r="155" spans="1:54" x14ac:dyDescent="0.3">
      <c r="A155" s="7">
        <v>170</v>
      </c>
      <c r="B155" t="s">
        <v>1425</v>
      </c>
      <c r="C155" t="s">
        <v>1426</v>
      </c>
      <c r="D155" t="s">
        <v>1943</v>
      </c>
      <c r="E155" t="s">
        <v>214</v>
      </c>
      <c r="F155" t="s">
        <v>341</v>
      </c>
      <c r="G155">
        <v>70180</v>
      </c>
      <c r="I155" t="s">
        <v>228</v>
      </c>
      <c r="J155" t="s">
        <v>1430</v>
      </c>
      <c r="K155" t="s">
        <v>204</v>
      </c>
      <c r="L155">
        <v>18352821898</v>
      </c>
      <c r="N155" t="s">
        <v>1944</v>
      </c>
      <c r="O155" s="2">
        <v>44295</v>
      </c>
      <c r="P155" s="2">
        <v>44660</v>
      </c>
      <c r="Q155" t="s">
        <v>65</v>
      </c>
      <c r="R155" t="s">
        <v>279</v>
      </c>
      <c r="S155" t="s">
        <v>182</v>
      </c>
      <c r="T155" t="s">
        <v>1945</v>
      </c>
      <c r="U155" t="s">
        <v>214</v>
      </c>
      <c r="V155" t="s">
        <v>57</v>
      </c>
      <c r="X155" t="s">
        <v>1540</v>
      </c>
      <c r="Z155" t="s">
        <v>113</v>
      </c>
      <c r="AA155" t="s">
        <v>159</v>
      </c>
      <c r="AB155" t="s">
        <v>65</v>
      </c>
      <c r="AD155" t="s">
        <v>69</v>
      </c>
      <c r="AE155">
        <v>25</v>
      </c>
      <c r="AF155">
        <v>102</v>
      </c>
      <c r="AP155" t="s">
        <v>93</v>
      </c>
      <c r="AS155" t="s">
        <v>344</v>
      </c>
      <c r="AT155">
        <v>1.75</v>
      </c>
      <c r="AU155">
        <v>22</v>
      </c>
      <c r="AV155">
        <v>17</v>
      </c>
      <c r="AZ155">
        <v>222000</v>
      </c>
    </row>
    <row r="156" spans="1:54" x14ac:dyDescent="0.3">
      <c r="A156" s="7">
        <v>171</v>
      </c>
      <c r="B156" t="s">
        <v>1425</v>
      </c>
      <c r="C156" t="s">
        <v>1426</v>
      </c>
      <c r="D156" t="s">
        <v>1946</v>
      </c>
      <c r="E156" t="s">
        <v>214</v>
      </c>
      <c r="F156" t="s">
        <v>341</v>
      </c>
      <c r="G156">
        <v>70158</v>
      </c>
      <c r="I156" t="s">
        <v>228</v>
      </c>
      <c r="J156" t="s">
        <v>1430</v>
      </c>
      <c r="K156" t="s">
        <v>204</v>
      </c>
      <c r="L156">
        <v>18352821898</v>
      </c>
      <c r="N156" t="s">
        <v>1947</v>
      </c>
      <c r="O156" s="2">
        <v>44295</v>
      </c>
      <c r="P156" s="2">
        <v>44660</v>
      </c>
      <c r="Q156" t="s">
        <v>65</v>
      </c>
      <c r="R156" t="s">
        <v>279</v>
      </c>
      <c r="S156" t="s">
        <v>182</v>
      </c>
      <c r="T156" t="s">
        <v>1948</v>
      </c>
      <c r="U156" t="s">
        <v>214</v>
      </c>
      <c r="V156" t="s">
        <v>57</v>
      </c>
      <c r="X156" t="s">
        <v>1540</v>
      </c>
      <c r="Z156" t="s">
        <v>113</v>
      </c>
      <c r="AA156" t="s">
        <v>159</v>
      </c>
      <c r="AB156" t="s">
        <v>65</v>
      </c>
      <c r="AD156" t="s">
        <v>69</v>
      </c>
      <c r="AE156">
        <v>25</v>
      </c>
      <c r="AF156">
        <v>102</v>
      </c>
      <c r="AP156" t="s">
        <v>93</v>
      </c>
      <c r="AS156" t="s">
        <v>344</v>
      </c>
      <c r="AT156">
        <v>1.75</v>
      </c>
      <c r="AU156">
        <v>22</v>
      </c>
      <c r="AV156">
        <v>17</v>
      </c>
      <c r="AZ156">
        <v>222000</v>
      </c>
    </row>
    <row r="157" spans="1:54" x14ac:dyDescent="0.3">
      <c r="A157" s="7">
        <v>172</v>
      </c>
      <c r="B157" t="s">
        <v>1425</v>
      </c>
      <c r="C157" t="s">
        <v>1426</v>
      </c>
      <c r="D157" t="s">
        <v>1949</v>
      </c>
      <c r="E157" t="s">
        <v>214</v>
      </c>
      <c r="F157" t="s">
        <v>341</v>
      </c>
      <c r="G157">
        <v>70157</v>
      </c>
      <c r="I157" t="s">
        <v>228</v>
      </c>
      <c r="J157" t="s">
        <v>1430</v>
      </c>
      <c r="K157" t="s">
        <v>204</v>
      </c>
      <c r="L157">
        <v>18352821898</v>
      </c>
      <c r="N157" t="s">
        <v>1950</v>
      </c>
      <c r="O157" s="2">
        <v>44295</v>
      </c>
      <c r="P157" s="2">
        <v>44660</v>
      </c>
      <c r="Q157" t="s">
        <v>65</v>
      </c>
      <c r="R157" t="s">
        <v>279</v>
      </c>
      <c r="S157" t="s">
        <v>182</v>
      </c>
      <c r="T157" t="s">
        <v>1951</v>
      </c>
      <c r="U157" t="s">
        <v>214</v>
      </c>
      <c r="V157" t="s">
        <v>57</v>
      </c>
      <c r="X157" t="s">
        <v>1540</v>
      </c>
      <c r="Z157" t="s">
        <v>113</v>
      </c>
      <c r="AA157" t="s">
        <v>159</v>
      </c>
      <c r="AB157" t="s">
        <v>65</v>
      </c>
      <c r="AD157" t="s">
        <v>69</v>
      </c>
      <c r="AE157">
        <v>25</v>
      </c>
      <c r="AF157">
        <v>102</v>
      </c>
      <c r="AP157" t="s">
        <v>93</v>
      </c>
      <c r="AS157" t="s">
        <v>344</v>
      </c>
      <c r="AT157">
        <v>1.75</v>
      </c>
      <c r="AU157">
        <v>22</v>
      </c>
      <c r="AV157">
        <v>17</v>
      </c>
      <c r="AZ157">
        <v>222000</v>
      </c>
    </row>
    <row r="158" spans="1:54" x14ac:dyDescent="0.3">
      <c r="A158" s="7">
        <v>173</v>
      </c>
      <c r="B158" t="s">
        <v>1425</v>
      </c>
      <c r="C158" t="s">
        <v>1426</v>
      </c>
      <c r="D158" t="s">
        <v>2067</v>
      </c>
      <c r="E158" t="s">
        <v>235</v>
      </c>
      <c r="F158" t="s">
        <v>2068</v>
      </c>
      <c r="G158">
        <v>50600071</v>
      </c>
      <c r="H158" t="s">
        <v>83</v>
      </c>
      <c r="I158" t="s">
        <v>2069</v>
      </c>
      <c r="J158" t="s">
        <v>1430</v>
      </c>
      <c r="K158" t="s">
        <v>1540</v>
      </c>
      <c r="L158">
        <v>18352821898</v>
      </c>
      <c r="N158" t="s">
        <v>2070</v>
      </c>
      <c r="O158" s="2">
        <v>45411</v>
      </c>
      <c r="P158" s="2">
        <v>46140</v>
      </c>
      <c r="Q158" t="s">
        <v>65</v>
      </c>
      <c r="R158" t="s">
        <v>279</v>
      </c>
      <c r="S158" t="s">
        <v>87</v>
      </c>
      <c r="T158" t="s">
        <v>2071</v>
      </c>
      <c r="U158" t="s">
        <v>235</v>
      </c>
      <c r="V158" t="s">
        <v>57</v>
      </c>
      <c r="X158" t="s">
        <v>204</v>
      </c>
      <c r="Z158" t="s">
        <v>113</v>
      </c>
      <c r="AA158" t="s">
        <v>159</v>
      </c>
      <c r="AB158" t="s">
        <v>65</v>
      </c>
      <c r="AC158">
        <v>600</v>
      </c>
      <c r="AD158" t="s">
        <v>69</v>
      </c>
      <c r="AE158">
        <v>15</v>
      </c>
      <c r="AF158">
        <v>0</v>
      </c>
      <c r="AH158">
        <v>16.5</v>
      </c>
      <c r="AP158" t="s">
        <v>93</v>
      </c>
      <c r="AQ158" t="s">
        <v>94</v>
      </c>
      <c r="AS158" t="s">
        <v>2072</v>
      </c>
      <c r="AT158" t="s">
        <v>1888</v>
      </c>
      <c r="AU158" t="s">
        <v>1889</v>
      </c>
      <c r="AV158">
        <v>15</v>
      </c>
      <c r="AW158" t="s">
        <v>2073</v>
      </c>
      <c r="AZ158">
        <v>222000</v>
      </c>
    </row>
    <row r="159" spans="1:54" x14ac:dyDescent="0.3">
      <c r="A159" s="7">
        <v>174</v>
      </c>
      <c r="B159" t="s">
        <v>2130</v>
      </c>
      <c r="C159">
        <v>9.1320700732251302E+17</v>
      </c>
      <c r="D159" t="s">
        <v>2131</v>
      </c>
      <c r="E159" t="s">
        <v>124</v>
      </c>
      <c r="F159" t="s">
        <v>2132</v>
      </c>
      <c r="G159">
        <v>130073031</v>
      </c>
      <c r="J159" t="s">
        <v>2133</v>
      </c>
      <c r="K159" t="s">
        <v>2134</v>
      </c>
      <c r="L159">
        <v>13851270398</v>
      </c>
      <c r="R159" t="s">
        <v>279</v>
      </c>
      <c r="U159" t="s">
        <v>124</v>
      </c>
      <c r="V159" t="s">
        <v>57</v>
      </c>
      <c r="X159" t="s">
        <v>2134</v>
      </c>
      <c r="Y159">
        <v>13675233803</v>
      </c>
      <c r="Z159" t="s">
        <v>89</v>
      </c>
      <c r="AP159" t="s">
        <v>60</v>
      </c>
      <c r="AS159" t="s">
        <v>2135</v>
      </c>
      <c r="AZ159">
        <v>222042</v>
      </c>
    </row>
    <row r="160" spans="1:54" x14ac:dyDescent="0.3">
      <c r="A160" s="7">
        <v>175</v>
      </c>
      <c r="B160" t="s">
        <v>920</v>
      </c>
      <c r="C160">
        <v>9.13207235955728E+17</v>
      </c>
      <c r="D160" t="s">
        <v>921</v>
      </c>
      <c r="E160" t="s">
        <v>62</v>
      </c>
      <c r="F160" t="s">
        <v>922</v>
      </c>
      <c r="G160" t="s">
        <v>923</v>
      </c>
      <c r="H160" s="3">
        <v>44732</v>
      </c>
      <c r="I160" t="s">
        <v>924</v>
      </c>
      <c r="J160" t="s">
        <v>925</v>
      </c>
      <c r="K160" t="s">
        <v>926</v>
      </c>
      <c r="L160">
        <v>18036600098</v>
      </c>
      <c r="M160">
        <v>18036600098</v>
      </c>
      <c r="N160" t="s">
        <v>927</v>
      </c>
      <c r="O160" s="2">
        <v>45518</v>
      </c>
      <c r="P160" s="2">
        <v>46240</v>
      </c>
      <c r="Q160" t="s">
        <v>65</v>
      </c>
      <c r="R160" t="s">
        <v>86</v>
      </c>
      <c r="S160" t="s">
        <v>928</v>
      </c>
      <c r="T160" t="s">
        <v>929</v>
      </c>
      <c r="U160" t="s">
        <v>930</v>
      </c>
      <c r="V160" t="s">
        <v>57</v>
      </c>
      <c r="Z160" t="s">
        <v>59</v>
      </c>
      <c r="AA160" t="s">
        <v>515</v>
      </c>
      <c r="AB160" t="s">
        <v>65</v>
      </c>
      <c r="AC160">
        <v>1190</v>
      </c>
      <c r="AD160" t="s">
        <v>69</v>
      </c>
      <c r="AE160">
        <v>40</v>
      </c>
      <c r="AF160">
        <v>1000</v>
      </c>
      <c r="AO160" t="s">
        <v>83</v>
      </c>
      <c r="AP160" t="s">
        <v>931</v>
      </c>
      <c r="AQ160" t="s">
        <v>117</v>
      </c>
      <c r="AR160" t="s">
        <v>932</v>
      </c>
      <c r="AS160" t="s">
        <v>323</v>
      </c>
      <c r="AT160" t="s">
        <v>933</v>
      </c>
      <c r="AU160" t="s">
        <v>934</v>
      </c>
      <c r="AV160">
        <v>32</v>
      </c>
      <c r="AZ160">
        <v>222200</v>
      </c>
    </row>
    <row r="161" spans="1:57" x14ac:dyDescent="0.3">
      <c r="A161" s="7">
        <v>176</v>
      </c>
      <c r="B161" t="s">
        <v>920</v>
      </c>
      <c r="C161">
        <v>9.13207235955728E+17</v>
      </c>
      <c r="D161" t="s">
        <v>935</v>
      </c>
      <c r="E161" t="s">
        <v>62</v>
      </c>
      <c r="F161" t="s">
        <v>922</v>
      </c>
      <c r="G161" t="s">
        <v>936</v>
      </c>
      <c r="H161" s="3">
        <v>44732</v>
      </c>
      <c r="I161" t="s">
        <v>924</v>
      </c>
      <c r="J161" t="s">
        <v>925</v>
      </c>
      <c r="K161" t="s">
        <v>926</v>
      </c>
      <c r="L161">
        <v>18036600098</v>
      </c>
      <c r="M161">
        <v>18036600098</v>
      </c>
      <c r="N161" t="s">
        <v>937</v>
      </c>
      <c r="O161" s="2">
        <v>45518</v>
      </c>
      <c r="P161" s="2">
        <v>46248</v>
      </c>
      <c r="Q161" t="s">
        <v>65</v>
      </c>
      <c r="R161" t="s">
        <v>86</v>
      </c>
      <c r="S161" t="s">
        <v>928</v>
      </c>
      <c r="T161" t="s">
        <v>938</v>
      </c>
      <c r="U161" t="s">
        <v>930</v>
      </c>
      <c r="V161" t="s">
        <v>57</v>
      </c>
      <c r="Z161" t="s">
        <v>59</v>
      </c>
      <c r="AA161" t="s">
        <v>515</v>
      </c>
      <c r="AB161" t="s">
        <v>65</v>
      </c>
      <c r="AC161">
        <v>1190</v>
      </c>
      <c r="AD161" t="s">
        <v>69</v>
      </c>
      <c r="AE161">
        <v>40</v>
      </c>
      <c r="AF161">
        <v>1000</v>
      </c>
      <c r="AO161" t="s">
        <v>83</v>
      </c>
      <c r="AP161" t="s">
        <v>931</v>
      </c>
      <c r="AQ161" t="s">
        <v>117</v>
      </c>
      <c r="AR161" t="s">
        <v>939</v>
      </c>
      <c r="AS161" t="s">
        <v>323</v>
      </c>
      <c r="AT161" t="s">
        <v>933</v>
      </c>
      <c r="AU161" t="s">
        <v>934</v>
      </c>
      <c r="AV161">
        <v>32</v>
      </c>
      <c r="AZ161">
        <v>222200</v>
      </c>
    </row>
    <row r="162" spans="1:57" x14ac:dyDescent="0.3">
      <c r="A162" s="7">
        <v>177</v>
      </c>
      <c r="B162" t="s">
        <v>920</v>
      </c>
      <c r="C162">
        <v>9.13207235955728E+17</v>
      </c>
      <c r="D162" t="s">
        <v>940</v>
      </c>
      <c r="E162" t="s">
        <v>62</v>
      </c>
      <c r="F162" t="s">
        <v>941</v>
      </c>
      <c r="G162" t="s">
        <v>942</v>
      </c>
      <c r="H162" s="5">
        <v>44348</v>
      </c>
      <c r="I162" t="s">
        <v>943</v>
      </c>
      <c r="J162" t="s">
        <v>944</v>
      </c>
      <c r="K162" t="s">
        <v>945</v>
      </c>
      <c r="L162">
        <v>15861209968</v>
      </c>
      <c r="O162" s="2">
        <v>45190</v>
      </c>
      <c r="P162" s="2">
        <v>45921</v>
      </c>
      <c r="Q162" t="s">
        <v>65</v>
      </c>
      <c r="R162" t="s">
        <v>86</v>
      </c>
      <c r="S162" t="s">
        <v>928</v>
      </c>
      <c r="T162" t="s">
        <v>946</v>
      </c>
      <c r="U162" t="s">
        <v>62</v>
      </c>
      <c r="V162" t="s">
        <v>57</v>
      </c>
      <c r="X162" t="s">
        <v>945</v>
      </c>
      <c r="Y162">
        <v>15861209968</v>
      </c>
      <c r="Z162" t="s">
        <v>59</v>
      </c>
      <c r="AA162" t="s">
        <v>159</v>
      </c>
      <c r="AB162" t="s">
        <v>65</v>
      </c>
      <c r="AC162">
        <v>1190</v>
      </c>
      <c r="AD162" t="s">
        <v>69</v>
      </c>
      <c r="AE162">
        <v>40</v>
      </c>
      <c r="AF162">
        <v>1800</v>
      </c>
      <c r="AP162" t="s">
        <v>931</v>
      </c>
      <c r="AS162" t="s">
        <v>947</v>
      </c>
      <c r="AT162" t="s">
        <v>948</v>
      </c>
      <c r="AU162">
        <v>20</v>
      </c>
      <c r="AV162">
        <v>40</v>
      </c>
      <c r="AW162">
        <v>40</v>
      </c>
      <c r="AX162">
        <v>40</v>
      </c>
      <c r="AZ162">
        <v>222200</v>
      </c>
    </row>
    <row r="163" spans="1:57" x14ac:dyDescent="0.3">
      <c r="A163" s="7">
        <v>178</v>
      </c>
      <c r="B163" t="s">
        <v>920</v>
      </c>
      <c r="C163">
        <v>9.13207235955728E+17</v>
      </c>
      <c r="D163" t="s">
        <v>949</v>
      </c>
      <c r="E163" t="s">
        <v>235</v>
      </c>
      <c r="F163" t="s">
        <v>950</v>
      </c>
      <c r="G163" t="s">
        <v>951</v>
      </c>
      <c r="H163" s="5">
        <v>44075</v>
      </c>
      <c r="I163" t="s">
        <v>952</v>
      </c>
      <c r="J163" t="s">
        <v>953</v>
      </c>
      <c r="K163" t="s">
        <v>945</v>
      </c>
      <c r="L163">
        <v>15950756325</v>
      </c>
      <c r="M163">
        <v>15861209968</v>
      </c>
      <c r="N163" t="s">
        <v>954</v>
      </c>
      <c r="O163" s="2">
        <v>45616</v>
      </c>
      <c r="P163" s="2">
        <v>46346</v>
      </c>
      <c r="Q163" t="s">
        <v>65</v>
      </c>
      <c r="R163" t="s">
        <v>86</v>
      </c>
      <c r="S163" t="s">
        <v>155</v>
      </c>
      <c r="T163" t="s">
        <v>955</v>
      </c>
      <c r="U163" t="s">
        <v>774</v>
      </c>
      <c r="V163" t="s">
        <v>57</v>
      </c>
      <c r="X163" t="s">
        <v>945</v>
      </c>
      <c r="Y163">
        <v>15861209968</v>
      </c>
      <c r="Z163" t="s">
        <v>59</v>
      </c>
      <c r="AA163" t="s">
        <v>159</v>
      </c>
      <c r="AB163" t="s">
        <v>65</v>
      </c>
      <c r="AC163">
        <v>600</v>
      </c>
      <c r="AD163" t="s">
        <v>69</v>
      </c>
      <c r="AE163">
        <v>10</v>
      </c>
      <c r="AH163">
        <v>28</v>
      </c>
      <c r="AK163" t="s">
        <v>956</v>
      </c>
      <c r="AN163">
        <v>13</v>
      </c>
      <c r="AP163" t="s">
        <v>931</v>
      </c>
      <c r="AQ163" t="s">
        <v>94</v>
      </c>
      <c r="AS163" t="s">
        <v>957</v>
      </c>
      <c r="AT163" t="s">
        <v>956</v>
      </c>
      <c r="AU163">
        <v>9.5</v>
      </c>
      <c r="AV163">
        <v>13</v>
      </c>
      <c r="AW163">
        <v>10</v>
      </c>
      <c r="AZ163">
        <v>222228</v>
      </c>
      <c r="BB163" t="s">
        <v>248</v>
      </c>
      <c r="BD163" t="s">
        <v>249</v>
      </c>
      <c r="BE163" t="s">
        <v>250</v>
      </c>
    </row>
    <row r="164" spans="1:57" x14ac:dyDescent="0.3">
      <c r="A164" s="7">
        <v>179</v>
      </c>
      <c r="B164" t="s">
        <v>920</v>
      </c>
      <c r="C164">
        <v>9.13207235955728E+17</v>
      </c>
      <c r="D164" t="s">
        <v>958</v>
      </c>
      <c r="E164" t="s">
        <v>235</v>
      </c>
      <c r="F164" t="s">
        <v>950</v>
      </c>
      <c r="G164" t="s">
        <v>959</v>
      </c>
      <c r="H164" s="5">
        <v>44075</v>
      </c>
      <c r="I164" t="s">
        <v>960</v>
      </c>
      <c r="J164" t="s">
        <v>953</v>
      </c>
      <c r="K164" t="s">
        <v>945</v>
      </c>
      <c r="L164">
        <v>15950756325</v>
      </c>
      <c r="N164" t="s">
        <v>961</v>
      </c>
      <c r="O164" s="2">
        <v>45616</v>
      </c>
      <c r="P164" s="2">
        <v>46346</v>
      </c>
      <c r="Q164" t="s">
        <v>65</v>
      </c>
      <c r="R164" t="s">
        <v>86</v>
      </c>
      <c r="S164" t="s">
        <v>155</v>
      </c>
      <c r="T164" t="s">
        <v>962</v>
      </c>
      <c r="U164" t="s">
        <v>774</v>
      </c>
      <c r="V164" t="s">
        <v>57</v>
      </c>
      <c r="X164" t="s">
        <v>945</v>
      </c>
      <c r="Y164">
        <v>15861209968</v>
      </c>
      <c r="Z164" t="s">
        <v>59</v>
      </c>
      <c r="AA164" t="s">
        <v>159</v>
      </c>
      <c r="AB164" t="s">
        <v>65</v>
      </c>
      <c r="AC164">
        <v>600</v>
      </c>
      <c r="AD164" t="s">
        <v>69</v>
      </c>
      <c r="AE164">
        <v>10</v>
      </c>
      <c r="AH164">
        <v>28</v>
      </c>
      <c r="AK164" t="s">
        <v>956</v>
      </c>
      <c r="AN164">
        <v>13</v>
      </c>
      <c r="AP164" t="s">
        <v>931</v>
      </c>
      <c r="AQ164" t="s">
        <v>94</v>
      </c>
      <c r="AS164" t="s">
        <v>957</v>
      </c>
      <c r="AT164" t="s">
        <v>956</v>
      </c>
      <c r="AU164">
        <v>9.5</v>
      </c>
      <c r="AV164">
        <v>13</v>
      </c>
      <c r="AW164">
        <v>10</v>
      </c>
      <c r="AZ164">
        <v>222228</v>
      </c>
      <c r="BB164" t="s">
        <v>248</v>
      </c>
      <c r="BD164" t="s">
        <v>249</v>
      </c>
      <c r="BE164" t="s">
        <v>250</v>
      </c>
    </row>
    <row r="165" spans="1:57" x14ac:dyDescent="0.3">
      <c r="A165" s="7">
        <v>180</v>
      </c>
      <c r="B165" t="s">
        <v>920</v>
      </c>
      <c r="C165">
        <v>9.13207235955728E+17</v>
      </c>
      <c r="D165" t="s">
        <v>963</v>
      </c>
      <c r="E165" t="s">
        <v>235</v>
      </c>
      <c r="F165" t="s">
        <v>950</v>
      </c>
      <c r="G165" t="s">
        <v>964</v>
      </c>
      <c r="H165" s="5">
        <v>44075</v>
      </c>
      <c r="I165" t="s">
        <v>965</v>
      </c>
      <c r="J165" t="s">
        <v>953</v>
      </c>
      <c r="K165" t="s">
        <v>945</v>
      </c>
      <c r="L165">
        <v>15950756325</v>
      </c>
      <c r="M165">
        <v>15861209968</v>
      </c>
      <c r="N165" t="s">
        <v>966</v>
      </c>
      <c r="O165" s="2">
        <v>45616</v>
      </c>
      <c r="P165" s="2">
        <v>46346</v>
      </c>
      <c r="Q165" t="s">
        <v>65</v>
      </c>
      <c r="R165" t="s">
        <v>86</v>
      </c>
      <c r="S165" t="s">
        <v>155</v>
      </c>
      <c r="T165" t="s">
        <v>967</v>
      </c>
      <c r="U165" t="s">
        <v>774</v>
      </c>
      <c r="V165" t="s">
        <v>57</v>
      </c>
      <c r="X165" t="s">
        <v>945</v>
      </c>
      <c r="Y165">
        <v>15861209968</v>
      </c>
      <c r="Z165" t="s">
        <v>59</v>
      </c>
      <c r="AA165" t="s">
        <v>159</v>
      </c>
      <c r="AB165" t="s">
        <v>65</v>
      </c>
      <c r="AC165">
        <v>600</v>
      </c>
      <c r="AD165" t="s">
        <v>69</v>
      </c>
      <c r="AE165">
        <v>10</v>
      </c>
      <c r="AH165">
        <v>28</v>
      </c>
      <c r="AK165" t="s">
        <v>956</v>
      </c>
      <c r="AN165">
        <v>13</v>
      </c>
      <c r="AP165" t="s">
        <v>931</v>
      </c>
      <c r="AQ165" t="s">
        <v>94</v>
      </c>
      <c r="AS165" t="s">
        <v>957</v>
      </c>
      <c r="AT165" t="s">
        <v>956</v>
      </c>
      <c r="AU165">
        <v>9.5</v>
      </c>
      <c r="AV165">
        <v>13</v>
      </c>
      <c r="AW165">
        <v>10</v>
      </c>
      <c r="AZ165">
        <v>222228</v>
      </c>
      <c r="BB165" t="s">
        <v>248</v>
      </c>
      <c r="BD165" t="s">
        <v>249</v>
      </c>
      <c r="BE165" t="s">
        <v>250</v>
      </c>
    </row>
    <row r="166" spans="1:57" x14ac:dyDescent="0.3">
      <c r="A166" s="7">
        <v>181</v>
      </c>
      <c r="B166" t="s">
        <v>920</v>
      </c>
      <c r="C166">
        <v>9.13207235955728E+17</v>
      </c>
      <c r="D166" t="s">
        <v>968</v>
      </c>
      <c r="E166" t="s">
        <v>235</v>
      </c>
      <c r="F166" t="s">
        <v>950</v>
      </c>
      <c r="G166" t="s">
        <v>969</v>
      </c>
      <c r="H166" s="5">
        <v>44075</v>
      </c>
      <c r="I166" t="s">
        <v>970</v>
      </c>
      <c r="J166" t="s">
        <v>953</v>
      </c>
      <c r="K166" t="s">
        <v>945</v>
      </c>
      <c r="L166">
        <v>15950756325</v>
      </c>
      <c r="M166">
        <v>15861209968</v>
      </c>
      <c r="N166" t="s">
        <v>971</v>
      </c>
      <c r="O166" s="2">
        <v>45616</v>
      </c>
      <c r="P166" s="2">
        <v>46346</v>
      </c>
      <c r="Q166" t="s">
        <v>65</v>
      </c>
      <c r="R166" t="s">
        <v>86</v>
      </c>
      <c r="S166" t="s">
        <v>155</v>
      </c>
      <c r="T166" t="s">
        <v>972</v>
      </c>
      <c r="U166" t="s">
        <v>774</v>
      </c>
      <c r="V166" t="s">
        <v>57</v>
      </c>
      <c r="X166" t="s">
        <v>945</v>
      </c>
      <c r="Y166">
        <v>15861209968</v>
      </c>
      <c r="Z166" t="s">
        <v>59</v>
      </c>
      <c r="AA166" t="s">
        <v>159</v>
      </c>
      <c r="AB166" t="s">
        <v>65</v>
      </c>
      <c r="AC166">
        <v>600</v>
      </c>
      <c r="AD166" t="s">
        <v>69</v>
      </c>
      <c r="AE166">
        <v>10</v>
      </c>
      <c r="AH166">
        <v>28</v>
      </c>
      <c r="AK166" t="s">
        <v>956</v>
      </c>
      <c r="AN166">
        <v>13</v>
      </c>
      <c r="AP166" t="s">
        <v>931</v>
      </c>
      <c r="AQ166" t="s">
        <v>94</v>
      </c>
      <c r="AS166" t="s">
        <v>957</v>
      </c>
      <c r="AT166" t="s">
        <v>956</v>
      </c>
      <c r="AU166">
        <v>9.5</v>
      </c>
      <c r="AV166">
        <v>13</v>
      </c>
      <c r="AW166">
        <v>10</v>
      </c>
      <c r="AZ166">
        <v>222228</v>
      </c>
      <c r="BB166" t="s">
        <v>248</v>
      </c>
      <c r="BD166" t="s">
        <v>249</v>
      </c>
      <c r="BE166" t="s">
        <v>250</v>
      </c>
    </row>
    <row r="167" spans="1:57" x14ac:dyDescent="0.3">
      <c r="A167" s="7">
        <v>182</v>
      </c>
      <c r="B167" t="s">
        <v>920</v>
      </c>
      <c r="C167">
        <v>9.13207235955728E+17</v>
      </c>
      <c r="D167" t="s">
        <v>973</v>
      </c>
      <c r="E167" t="s">
        <v>214</v>
      </c>
      <c r="F167" t="s">
        <v>974</v>
      </c>
      <c r="G167">
        <v>1450106</v>
      </c>
      <c r="H167" s="3">
        <v>43483</v>
      </c>
      <c r="I167" t="s">
        <v>216</v>
      </c>
      <c r="J167" t="s">
        <v>944</v>
      </c>
      <c r="K167" t="s">
        <v>975</v>
      </c>
      <c r="L167">
        <v>18036600098</v>
      </c>
      <c r="M167">
        <v>18036600098</v>
      </c>
      <c r="N167" t="s">
        <v>976</v>
      </c>
      <c r="O167" s="2">
        <v>45814</v>
      </c>
      <c r="P167" s="2">
        <v>46179</v>
      </c>
      <c r="Q167" t="s">
        <v>65</v>
      </c>
      <c r="R167" t="s">
        <v>86</v>
      </c>
      <c r="S167" t="s">
        <v>155</v>
      </c>
      <c r="T167" t="s">
        <v>977</v>
      </c>
      <c r="U167" t="s">
        <v>978</v>
      </c>
      <c r="V167" t="s">
        <v>57</v>
      </c>
      <c r="X167" t="s">
        <v>926</v>
      </c>
      <c r="Z167" t="s">
        <v>59</v>
      </c>
      <c r="AA167" t="s">
        <v>159</v>
      </c>
      <c r="AB167" t="s">
        <v>65</v>
      </c>
      <c r="AC167">
        <v>1190</v>
      </c>
      <c r="AD167" t="s">
        <v>69</v>
      </c>
      <c r="AE167">
        <v>70</v>
      </c>
      <c r="AF167">
        <v>287</v>
      </c>
      <c r="AK167" t="s">
        <v>979</v>
      </c>
      <c r="AN167">
        <v>22</v>
      </c>
      <c r="AP167" t="s">
        <v>931</v>
      </c>
      <c r="AS167" t="s">
        <v>980</v>
      </c>
      <c r="AT167" t="s">
        <v>979</v>
      </c>
      <c r="AU167">
        <v>19.5</v>
      </c>
      <c r="AV167">
        <v>22</v>
      </c>
      <c r="AW167">
        <v>70</v>
      </c>
      <c r="AZ167">
        <v>222000</v>
      </c>
    </row>
    <row r="168" spans="1:57" x14ac:dyDescent="0.3">
      <c r="A168" s="7">
        <v>183</v>
      </c>
      <c r="B168" t="s">
        <v>920</v>
      </c>
      <c r="C168">
        <v>9.13207235955728E+17</v>
      </c>
      <c r="D168" t="s">
        <v>981</v>
      </c>
      <c r="E168" t="s">
        <v>62</v>
      </c>
      <c r="F168" t="s">
        <v>982</v>
      </c>
      <c r="G168" t="s">
        <v>983</v>
      </c>
      <c r="H168" s="3">
        <v>41173</v>
      </c>
      <c r="I168" t="s">
        <v>984</v>
      </c>
      <c r="J168" t="s">
        <v>944</v>
      </c>
      <c r="K168" t="s">
        <v>975</v>
      </c>
      <c r="L168">
        <v>18036600098</v>
      </c>
      <c r="N168">
        <v>1</v>
      </c>
      <c r="O168" s="2">
        <v>45814</v>
      </c>
      <c r="P168" s="2">
        <v>46544</v>
      </c>
      <c r="Q168" t="s">
        <v>65</v>
      </c>
      <c r="R168" t="s">
        <v>86</v>
      </c>
      <c r="S168" t="s">
        <v>155</v>
      </c>
      <c r="T168" t="s">
        <v>985</v>
      </c>
      <c r="U168" t="s">
        <v>62</v>
      </c>
      <c r="V168" t="s">
        <v>57</v>
      </c>
      <c r="W168" t="s">
        <v>21</v>
      </c>
      <c r="X168" t="s">
        <v>986</v>
      </c>
      <c r="Y168" t="s">
        <v>987</v>
      </c>
      <c r="Z168" t="s">
        <v>59</v>
      </c>
      <c r="AA168" t="s">
        <v>159</v>
      </c>
      <c r="AB168" t="s">
        <v>65</v>
      </c>
      <c r="AC168">
        <v>1350</v>
      </c>
      <c r="AD168" t="s">
        <v>69</v>
      </c>
      <c r="AE168">
        <v>40</v>
      </c>
      <c r="AF168">
        <v>1000</v>
      </c>
      <c r="AP168" t="s">
        <v>931</v>
      </c>
      <c r="AS168" t="s">
        <v>988</v>
      </c>
      <c r="AT168" t="s">
        <v>989</v>
      </c>
      <c r="AU168">
        <f>-15-20/-15-30</f>
        <v>-43.666666666666664</v>
      </c>
      <c r="AV168">
        <v>36</v>
      </c>
      <c r="AW168" t="s">
        <v>990</v>
      </c>
      <c r="AZ168">
        <v>222042</v>
      </c>
    </row>
    <row r="169" spans="1:57" x14ac:dyDescent="0.3">
      <c r="A169" s="7">
        <v>184</v>
      </c>
      <c r="B169" t="s">
        <v>920</v>
      </c>
      <c r="C169">
        <v>9.13207235955728E+17</v>
      </c>
      <c r="D169" t="s">
        <v>991</v>
      </c>
      <c r="E169" t="s">
        <v>62</v>
      </c>
      <c r="F169" t="s">
        <v>982</v>
      </c>
      <c r="G169" t="s">
        <v>992</v>
      </c>
      <c r="H169" s="3">
        <v>41173</v>
      </c>
      <c r="I169" t="s">
        <v>984</v>
      </c>
      <c r="J169" t="s">
        <v>944</v>
      </c>
      <c r="K169" t="s">
        <v>975</v>
      </c>
      <c r="L169">
        <v>18036600098</v>
      </c>
      <c r="N169">
        <v>2</v>
      </c>
      <c r="O169" s="2">
        <v>45814</v>
      </c>
      <c r="P169" s="2">
        <v>46544</v>
      </c>
      <c r="Q169" t="s">
        <v>65</v>
      </c>
      <c r="R169" t="s">
        <v>86</v>
      </c>
      <c r="S169" t="s">
        <v>155</v>
      </c>
      <c r="T169" t="s">
        <v>993</v>
      </c>
      <c r="U169" t="s">
        <v>62</v>
      </c>
      <c r="V169" t="s">
        <v>57</v>
      </c>
      <c r="W169" t="s">
        <v>21</v>
      </c>
      <c r="X169" t="s">
        <v>986</v>
      </c>
      <c r="Y169" t="s">
        <v>987</v>
      </c>
      <c r="Z169" t="s">
        <v>59</v>
      </c>
      <c r="AA169" t="s">
        <v>159</v>
      </c>
      <c r="AB169" t="s">
        <v>65</v>
      </c>
      <c r="AC169">
        <v>1190</v>
      </c>
      <c r="AD169" t="s">
        <v>69</v>
      </c>
      <c r="AE169">
        <v>40</v>
      </c>
      <c r="AF169">
        <v>1000</v>
      </c>
      <c r="AP169" t="s">
        <v>931</v>
      </c>
      <c r="AS169" t="s">
        <v>988</v>
      </c>
      <c r="AT169" t="s">
        <v>989</v>
      </c>
      <c r="AU169">
        <f>-15-20/-15-30</f>
        <v>-43.666666666666664</v>
      </c>
      <c r="AV169">
        <v>36</v>
      </c>
      <c r="AW169" t="s">
        <v>990</v>
      </c>
      <c r="AZ169">
        <v>222042</v>
      </c>
    </row>
    <row r="170" spans="1:57" x14ac:dyDescent="0.3">
      <c r="A170" s="7">
        <v>185</v>
      </c>
      <c r="B170" t="s">
        <v>920</v>
      </c>
      <c r="C170">
        <v>9.13207235955728E+17</v>
      </c>
      <c r="D170" t="s">
        <v>994</v>
      </c>
      <c r="E170" t="s">
        <v>124</v>
      </c>
      <c r="F170" t="s">
        <v>995</v>
      </c>
      <c r="G170">
        <v>170114643</v>
      </c>
      <c r="H170" s="3">
        <v>42957</v>
      </c>
      <c r="I170" t="s">
        <v>996</v>
      </c>
      <c r="J170" t="s">
        <v>944</v>
      </c>
      <c r="K170" t="s">
        <v>997</v>
      </c>
      <c r="L170">
        <v>15950756325</v>
      </c>
      <c r="N170" t="s">
        <v>83</v>
      </c>
      <c r="O170" s="2">
        <v>45616</v>
      </c>
      <c r="P170" s="2">
        <v>46346</v>
      </c>
      <c r="Q170" t="s">
        <v>65</v>
      </c>
      <c r="R170" t="s">
        <v>86</v>
      </c>
      <c r="S170" t="s">
        <v>155</v>
      </c>
      <c r="T170" t="s">
        <v>998</v>
      </c>
      <c r="U170" t="s">
        <v>124</v>
      </c>
      <c r="V170" t="s">
        <v>57</v>
      </c>
      <c r="W170" t="s">
        <v>184</v>
      </c>
      <c r="X170" t="s">
        <v>986</v>
      </c>
      <c r="Y170">
        <v>15161346512</v>
      </c>
      <c r="Z170" t="s">
        <v>59</v>
      </c>
      <c r="AA170" t="s">
        <v>159</v>
      </c>
      <c r="AB170" t="s">
        <v>65</v>
      </c>
      <c r="AC170">
        <v>550</v>
      </c>
      <c r="AD170" t="s">
        <v>69</v>
      </c>
      <c r="AE170">
        <v>5</v>
      </c>
      <c r="AH170">
        <v>19.5</v>
      </c>
      <c r="AP170" t="s">
        <v>931</v>
      </c>
      <c r="AQ170" t="s">
        <v>94</v>
      </c>
      <c r="AS170" t="s">
        <v>61</v>
      </c>
      <c r="AT170" t="s">
        <v>999</v>
      </c>
      <c r="AU170">
        <v>6</v>
      </c>
      <c r="AV170">
        <v>15</v>
      </c>
      <c r="AW170">
        <v>5</v>
      </c>
      <c r="AZ170">
        <v>222000</v>
      </c>
      <c r="BB170" t="s">
        <v>248</v>
      </c>
      <c r="BD170" t="s">
        <v>385</v>
      </c>
      <c r="BE170" t="s">
        <v>386</v>
      </c>
    </row>
    <row r="171" spans="1:57" x14ac:dyDescent="0.3">
      <c r="A171" s="7">
        <v>186</v>
      </c>
      <c r="B171" t="s">
        <v>920</v>
      </c>
      <c r="C171">
        <v>9.13207235955728E+17</v>
      </c>
      <c r="D171" t="s">
        <v>1000</v>
      </c>
      <c r="E171" t="s">
        <v>62</v>
      </c>
      <c r="F171" t="s">
        <v>315</v>
      </c>
      <c r="G171" t="s">
        <v>1001</v>
      </c>
      <c r="I171" t="s">
        <v>1002</v>
      </c>
      <c r="J171" t="s">
        <v>1003</v>
      </c>
      <c r="K171" t="s">
        <v>945</v>
      </c>
      <c r="L171">
        <v>18036600098</v>
      </c>
      <c r="N171" t="s">
        <v>1004</v>
      </c>
      <c r="O171" s="2">
        <v>45397</v>
      </c>
      <c r="P171" s="2">
        <v>46127</v>
      </c>
      <c r="Q171" t="s">
        <v>65</v>
      </c>
      <c r="R171" t="s">
        <v>86</v>
      </c>
      <c r="S171" t="s">
        <v>928</v>
      </c>
      <c r="T171" t="s">
        <v>1005</v>
      </c>
      <c r="U171" t="s">
        <v>321</v>
      </c>
      <c r="V171" t="s">
        <v>57</v>
      </c>
      <c r="W171" t="s">
        <v>322</v>
      </c>
      <c r="X171" t="s">
        <v>986</v>
      </c>
      <c r="Y171">
        <v>15861209968</v>
      </c>
      <c r="Z171" t="s">
        <v>59</v>
      </c>
      <c r="AA171" t="s">
        <v>159</v>
      </c>
      <c r="AB171" t="s">
        <v>65</v>
      </c>
      <c r="AC171">
        <v>930</v>
      </c>
      <c r="AD171" t="s">
        <v>69</v>
      </c>
      <c r="AE171">
        <v>25</v>
      </c>
      <c r="AF171">
        <v>1000</v>
      </c>
      <c r="AP171" t="s">
        <v>931</v>
      </c>
      <c r="AS171" t="s">
        <v>323</v>
      </c>
      <c r="AT171" t="s">
        <v>1006</v>
      </c>
      <c r="AU171" t="s">
        <v>1007</v>
      </c>
      <c r="AV171">
        <v>32</v>
      </c>
      <c r="AW171">
        <v>25</v>
      </c>
      <c r="AZ171">
        <v>222228</v>
      </c>
    </row>
    <row r="172" spans="1:57" x14ac:dyDescent="0.3">
      <c r="A172" s="7">
        <v>187</v>
      </c>
      <c r="B172" t="s">
        <v>920</v>
      </c>
      <c r="C172">
        <v>9.13207235955728E+17</v>
      </c>
      <c r="D172" t="s">
        <v>1008</v>
      </c>
      <c r="E172" t="s">
        <v>62</v>
      </c>
      <c r="F172" t="s">
        <v>315</v>
      </c>
      <c r="G172" t="s">
        <v>1009</v>
      </c>
      <c r="H172" s="3">
        <v>43033</v>
      </c>
      <c r="I172" t="s">
        <v>1002</v>
      </c>
      <c r="J172" t="s">
        <v>1003</v>
      </c>
      <c r="K172" t="s">
        <v>945</v>
      </c>
      <c r="L172">
        <v>18036600098</v>
      </c>
      <c r="N172" t="s">
        <v>1010</v>
      </c>
      <c r="O172" s="2">
        <v>45397</v>
      </c>
      <c r="P172" s="2">
        <v>46127</v>
      </c>
      <c r="Q172" t="s">
        <v>65</v>
      </c>
      <c r="R172" t="s">
        <v>86</v>
      </c>
      <c r="S172" t="s">
        <v>928</v>
      </c>
      <c r="T172" t="s">
        <v>1011</v>
      </c>
      <c r="U172" t="s">
        <v>321</v>
      </c>
      <c r="V172" t="s">
        <v>57</v>
      </c>
      <c r="W172" t="s">
        <v>322</v>
      </c>
      <c r="X172" t="s">
        <v>986</v>
      </c>
      <c r="Y172">
        <v>15861209968</v>
      </c>
      <c r="Z172" t="s">
        <v>59</v>
      </c>
      <c r="AA172" t="s">
        <v>159</v>
      </c>
      <c r="AB172" t="s">
        <v>65</v>
      </c>
      <c r="AC172">
        <v>930</v>
      </c>
      <c r="AD172" t="s">
        <v>69</v>
      </c>
      <c r="AE172">
        <v>25</v>
      </c>
      <c r="AF172">
        <v>1000</v>
      </c>
      <c r="AP172" t="s">
        <v>931</v>
      </c>
      <c r="AS172" t="s">
        <v>323</v>
      </c>
      <c r="AT172" t="s">
        <v>1006</v>
      </c>
      <c r="AU172" t="s">
        <v>1007</v>
      </c>
      <c r="AV172">
        <v>32</v>
      </c>
      <c r="AW172">
        <v>25</v>
      </c>
      <c r="AZ172">
        <v>222228</v>
      </c>
    </row>
    <row r="173" spans="1:57" x14ac:dyDescent="0.3">
      <c r="A173" s="7">
        <v>188</v>
      </c>
      <c r="B173" t="s">
        <v>211</v>
      </c>
      <c r="C173" t="s">
        <v>212</v>
      </c>
      <c r="D173" t="s">
        <v>226</v>
      </c>
      <c r="E173" t="s">
        <v>214</v>
      </c>
      <c r="F173" t="s">
        <v>227</v>
      </c>
      <c r="G173">
        <v>28</v>
      </c>
      <c r="I173" t="s">
        <v>228</v>
      </c>
      <c r="K173" t="s">
        <v>229</v>
      </c>
      <c r="L173">
        <v>15961383478</v>
      </c>
      <c r="N173" t="s">
        <v>230</v>
      </c>
      <c r="O173" s="2">
        <v>43603</v>
      </c>
      <c r="P173" s="2">
        <v>43969</v>
      </c>
      <c r="Q173" t="s">
        <v>65</v>
      </c>
      <c r="R173" t="s">
        <v>181</v>
      </c>
      <c r="S173" t="s">
        <v>182</v>
      </c>
      <c r="T173" t="s">
        <v>231</v>
      </c>
      <c r="U173" t="s">
        <v>214</v>
      </c>
      <c r="V173" t="s">
        <v>57</v>
      </c>
      <c r="W173" t="s">
        <v>184</v>
      </c>
      <c r="X173" t="s">
        <v>232</v>
      </c>
      <c r="Z173" t="s">
        <v>113</v>
      </c>
      <c r="AB173" t="s">
        <v>65</v>
      </c>
      <c r="AD173" t="s">
        <v>69</v>
      </c>
      <c r="AE173">
        <v>25</v>
      </c>
      <c r="AP173" t="s">
        <v>93</v>
      </c>
      <c r="AS173" t="s">
        <v>233</v>
      </c>
      <c r="AU173">
        <v>22</v>
      </c>
      <c r="AW173">
        <v>25</v>
      </c>
      <c r="AZ173">
        <v>222046</v>
      </c>
    </row>
    <row r="174" spans="1:57" x14ac:dyDescent="0.3">
      <c r="A174" s="7">
        <v>189</v>
      </c>
      <c r="B174" t="s">
        <v>211</v>
      </c>
      <c r="C174" t="s">
        <v>212</v>
      </c>
      <c r="D174" t="s">
        <v>283</v>
      </c>
      <c r="E174" t="s">
        <v>214</v>
      </c>
      <c r="F174" t="s">
        <v>227</v>
      </c>
      <c r="G174">
        <v>19</v>
      </c>
      <c r="I174" t="s">
        <v>228</v>
      </c>
      <c r="K174" t="s">
        <v>229</v>
      </c>
      <c r="L174">
        <v>15961383478</v>
      </c>
      <c r="N174" t="s">
        <v>284</v>
      </c>
      <c r="O174" s="2">
        <v>43603</v>
      </c>
      <c r="P174" s="2">
        <v>43969</v>
      </c>
      <c r="Q174" t="s">
        <v>65</v>
      </c>
      <c r="R174" t="s">
        <v>181</v>
      </c>
      <c r="S174" t="s">
        <v>182</v>
      </c>
      <c r="T174" t="s">
        <v>285</v>
      </c>
      <c r="U174" t="s">
        <v>214</v>
      </c>
      <c r="V174" t="s">
        <v>57</v>
      </c>
      <c r="W174" t="s">
        <v>273</v>
      </c>
      <c r="X174" t="s">
        <v>232</v>
      </c>
      <c r="Z174" t="s">
        <v>113</v>
      </c>
      <c r="AB174" t="s">
        <v>65</v>
      </c>
      <c r="AD174" t="s">
        <v>69</v>
      </c>
      <c r="AE174">
        <v>25</v>
      </c>
      <c r="AF174">
        <v>0</v>
      </c>
      <c r="AP174" t="s">
        <v>93</v>
      </c>
      <c r="AS174" t="s">
        <v>233</v>
      </c>
      <c r="AU174">
        <v>22</v>
      </c>
      <c r="AW174">
        <v>25</v>
      </c>
      <c r="AZ174">
        <v>222046</v>
      </c>
    </row>
    <row r="175" spans="1:57" x14ac:dyDescent="0.3">
      <c r="A175" s="7">
        <v>190</v>
      </c>
      <c r="B175" t="s">
        <v>211</v>
      </c>
      <c r="C175" t="s">
        <v>212</v>
      </c>
      <c r="D175" t="s">
        <v>286</v>
      </c>
      <c r="E175" t="s">
        <v>214</v>
      </c>
      <c r="F175" t="s">
        <v>227</v>
      </c>
      <c r="G175" t="s">
        <v>287</v>
      </c>
      <c r="I175" t="s">
        <v>228</v>
      </c>
      <c r="J175" t="s">
        <v>270</v>
      </c>
      <c r="K175" t="s">
        <v>229</v>
      </c>
      <c r="L175">
        <v>15240337632</v>
      </c>
      <c r="N175" t="s">
        <v>288</v>
      </c>
      <c r="O175" s="2">
        <v>44336</v>
      </c>
      <c r="P175" s="2">
        <v>44701</v>
      </c>
      <c r="Q175" t="s">
        <v>65</v>
      </c>
      <c r="R175" t="s">
        <v>181</v>
      </c>
      <c r="S175" t="s">
        <v>182</v>
      </c>
      <c r="T175" t="s">
        <v>289</v>
      </c>
      <c r="U175" t="s">
        <v>214</v>
      </c>
      <c r="V175" t="s">
        <v>57</v>
      </c>
      <c r="W175" t="s">
        <v>273</v>
      </c>
      <c r="X175" t="s">
        <v>232</v>
      </c>
      <c r="Z175" t="s">
        <v>113</v>
      </c>
      <c r="AA175" t="s">
        <v>290</v>
      </c>
      <c r="AB175" t="s">
        <v>65</v>
      </c>
      <c r="AC175">
        <v>515</v>
      </c>
      <c r="AD175" t="s">
        <v>69</v>
      </c>
      <c r="AE175">
        <v>25</v>
      </c>
      <c r="AF175">
        <v>99</v>
      </c>
      <c r="AK175">
        <v>1.75</v>
      </c>
      <c r="AN175">
        <v>17</v>
      </c>
      <c r="AP175" t="s">
        <v>93</v>
      </c>
      <c r="AS175" t="s">
        <v>233</v>
      </c>
      <c r="AT175">
        <v>1.75</v>
      </c>
      <c r="AU175">
        <v>15</v>
      </c>
      <c r="AV175">
        <v>17</v>
      </c>
      <c r="AW175">
        <v>25</v>
      </c>
      <c r="AZ175">
        <v>222046</v>
      </c>
    </row>
    <row r="176" spans="1:57" x14ac:dyDescent="0.3">
      <c r="A176" s="7">
        <v>191</v>
      </c>
      <c r="B176" t="s">
        <v>211</v>
      </c>
      <c r="C176" t="s">
        <v>212</v>
      </c>
      <c r="D176" t="s">
        <v>291</v>
      </c>
      <c r="E176" t="s">
        <v>214</v>
      </c>
      <c r="F176" t="s">
        <v>227</v>
      </c>
      <c r="G176" t="s">
        <v>292</v>
      </c>
      <c r="I176" t="s">
        <v>228</v>
      </c>
      <c r="J176" t="s">
        <v>270</v>
      </c>
      <c r="K176" t="s">
        <v>229</v>
      </c>
      <c r="L176">
        <v>15240337643</v>
      </c>
      <c r="N176" t="s">
        <v>293</v>
      </c>
      <c r="O176" s="2">
        <v>44336</v>
      </c>
      <c r="P176" s="2">
        <v>44701</v>
      </c>
      <c r="Q176" t="s">
        <v>65</v>
      </c>
      <c r="R176" t="s">
        <v>181</v>
      </c>
      <c r="S176" t="s">
        <v>182</v>
      </c>
      <c r="T176" t="s">
        <v>294</v>
      </c>
      <c r="U176" t="s">
        <v>214</v>
      </c>
      <c r="V176" t="s">
        <v>57</v>
      </c>
      <c r="W176" t="s">
        <v>273</v>
      </c>
      <c r="X176" t="s">
        <v>232</v>
      </c>
      <c r="Z176" t="s">
        <v>113</v>
      </c>
      <c r="AA176" t="s">
        <v>290</v>
      </c>
      <c r="AB176" t="s">
        <v>65</v>
      </c>
      <c r="AC176">
        <v>515</v>
      </c>
      <c r="AD176" t="s">
        <v>69</v>
      </c>
      <c r="AE176">
        <v>25</v>
      </c>
      <c r="AF176">
        <v>99</v>
      </c>
      <c r="AK176">
        <v>1.75</v>
      </c>
      <c r="AN176">
        <v>17</v>
      </c>
      <c r="AP176" t="s">
        <v>93</v>
      </c>
      <c r="AS176" t="s">
        <v>233</v>
      </c>
      <c r="AT176">
        <v>1.75</v>
      </c>
      <c r="AU176">
        <v>15</v>
      </c>
      <c r="AV176">
        <v>17</v>
      </c>
      <c r="AW176">
        <v>25</v>
      </c>
      <c r="AZ176">
        <v>222046</v>
      </c>
    </row>
    <row r="177" spans="1:57" x14ac:dyDescent="0.3">
      <c r="A177" s="7">
        <v>192</v>
      </c>
      <c r="B177" t="s">
        <v>211</v>
      </c>
      <c r="C177" t="s">
        <v>212</v>
      </c>
      <c r="D177" t="s">
        <v>213</v>
      </c>
      <c r="E177" t="s">
        <v>214</v>
      </c>
      <c r="F177" t="s">
        <v>215</v>
      </c>
      <c r="G177">
        <v>1110202</v>
      </c>
      <c r="H177">
        <v>2021.06</v>
      </c>
      <c r="I177" t="s">
        <v>216</v>
      </c>
      <c r="J177" t="s">
        <v>217</v>
      </c>
      <c r="K177">
        <v>13961370067</v>
      </c>
      <c r="L177">
        <v>13961370067</v>
      </c>
      <c r="M177">
        <v>15240337632</v>
      </c>
      <c r="N177" t="s">
        <v>218</v>
      </c>
      <c r="O177" s="2">
        <v>45800</v>
      </c>
      <c r="P177" s="2">
        <v>46165</v>
      </c>
      <c r="Q177" t="s">
        <v>65</v>
      </c>
      <c r="R177" t="s">
        <v>86</v>
      </c>
      <c r="S177" t="s">
        <v>155</v>
      </c>
      <c r="T177" t="s">
        <v>219</v>
      </c>
      <c r="V177" t="s">
        <v>57</v>
      </c>
      <c r="Z177" t="s">
        <v>113</v>
      </c>
      <c r="AA177" t="s">
        <v>159</v>
      </c>
      <c r="AB177" t="s">
        <v>65</v>
      </c>
      <c r="AC177">
        <v>620</v>
      </c>
      <c r="AD177" t="s">
        <v>69</v>
      </c>
      <c r="AE177">
        <v>32</v>
      </c>
      <c r="AF177">
        <v>115</v>
      </c>
      <c r="AP177" t="s">
        <v>163</v>
      </c>
      <c r="AS177" t="s">
        <v>60</v>
      </c>
      <c r="AT177" t="s">
        <v>220</v>
      </c>
      <c r="AU177">
        <v>15</v>
      </c>
      <c r="AV177">
        <v>20</v>
      </c>
      <c r="AZ177">
        <v>222042</v>
      </c>
    </row>
    <row r="178" spans="1:57" x14ac:dyDescent="0.3">
      <c r="A178" s="7">
        <v>193</v>
      </c>
      <c r="B178" t="s">
        <v>211</v>
      </c>
      <c r="C178" t="s">
        <v>212</v>
      </c>
      <c r="D178" t="s">
        <v>221</v>
      </c>
      <c r="E178" t="s">
        <v>214</v>
      </c>
      <c r="F178" t="s">
        <v>215</v>
      </c>
      <c r="G178">
        <v>1110205</v>
      </c>
      <c r="H178">
        <v>2021.06</v>
      </c>
      <c r="I178" t="s">
        <v>216</v>
      </c>
      <c r="J178" t="s">
        <v>217</v>
      </c>
      <c r="K178" t="s">
        <v>222</v>
      </c>
      <c r="L178">
        <v>15240337632</v>
      </c>
      <c r="M178">
        <v>15240337632</v>
      </c>
      <c r="N178" t="s">
        <v>223</v>
      </c>
      <c r="O178" s="2">
        <v>45800</v>
      </c>
      <c r="P178" s="2">
        <v>46165</v>
      </c>
      <c r="Q178" t="s">
        <v>65</v>
      </c>
      <c r="R178" t="s">
        <v>86</v>
      </c>
      <c r="S178" t="s">
        <v>155</v>
      </c>
      <c r="T178" t="s">
        <v>224</v>
      </c>
      <c r="V178" t="s">
        <v>57</v>
      </c>
      <c r="X178" t="s">
        <v>222</v>
      </c>
      <c r="Y178">
        <v>15240337632</v>
      </c>
      <c r="Z178" t="s">
        <v>113</v>
      </c>
      <c r="AA178" t="s">
        <v>159</v>
      </c>
      <c r="AB178" t="s">
        <v>65</v>
      </c>
      <c r="AC178">
        <v>620</v>
      </c>
      <c r="AD178" t="s">
        <v>69</v>
      </c>
      <c r="AE178">
        <v>32</v>
      </c>
      <c r="AF178">
        <v>115</v>
      </c>
      <c r="AP178" t="s">
        <v>163</v>
      </c>
      <c r="AS178" t="s">
        <v>225</v>
      </c>
      <c r="AT178" t="s">
        <v>220</v>
      </c>
      <c r="AU178">
        <v>15</v>
      </c>
      <c r="AV178">
        <v>20</v>
      </c>
      <c r="AZ178">
        <v>222042</v>
      </c>
    </row>
    <row r="179" spans="1:57" x14ac:dyDescent="0.3">
      <c r="A179" s="7">
        <v>194</v>
      </c>
      <c r="B179" t="s">
        <v>211</v>
      </c>
      <c r="C179" t="s">
        <v>212</v>
      </c>
      <c r="D179" t="s">
        <v>234</v>
      </c>
      <c r="E179" t="s">
        <v>235</v>
      </c>
      <c r="F179" t="s">
        <v>236</v>
      </c>
      <c r="G179" t="s">
        <v>237</v>
      </c>
      <c r="I179" t="s">
        <v>238</v>
      </c>
      <c r="J179" t="s">
        <v>239</v>
      </c>
      <c r="K179" t="s">
        <v>240</v>
      </c>
      <c r="L179">
        <v>18205131619</v>
      </c>
      <c r="N179" t="s">
        <v>241</v>
      </c>
      <c r="O179" s="2">
        <v>45800</v>
      </c>
      <c r="P179" s="2">
        <v>46530</v>
      </c>
      <c r="Q179" t="s">
        <v>65</v>
      </c>
      <c r="R179" t="s">
        <v>86</v>
      </c>
      <c r="S179" t="s">
        <v>155</v>
      </c>
      <c r="T179" t="s">
        <v>242</v>
      </c>
      <c r="U179" t="s">
        <v>235</v>
      </c>
      <c r="V179" t="s">
        <v>57</v>
      </c>
      <c r="W179" t="s">
        <v>243</v>
      </c>
      <c r="X179" t="s">
        <v>244</v>
      </c>
      <c r="Z179" t="s">
        <v>113</v>
      </c>
      <c r="AA179" t="s">
        <v>159</v>
      </c>
      <c r="AB179" t="s">
        <v>65</v>
      </c>
      <c r="AC179">
        <v>550</v>
      </c>
      <c r="AD179" t="s">
        <v>69</v>
      </c>
      <c r="AE179">
        <v>5</v>
      </c>
      <c r="AF179">
        <v>99999999.900000006</v>
      </c>
      <c r="AH179">
        <v>19</v>
      </c>
      <c r="AP179" t="s">
        <v>93</v>
      </c>
      <c r="AQ179" t="s">
        <v>94</v>
      </c>
      <c r="AR179" t="s">
        <v>245</v>
      </c>
      <c r="AS179" t="s">
        <v>246</v>
      </c>
      <c r="AT179">
        <v>8</v>
      </c>
      <c r="AU179">
        <v>12</v>
      </c>
      <c r="AV179">
        <v>15.5</v>
      </c>
      <c r="AW179">
        <v>5</v>
      </c>
      <c r="AZ179">
        <v>222000</v>
      </c>
      <c r="BA179" t="s">
        <v>247</v>
      </c>
      <c r="BB179" t="s">
        <v>248</v>
      </c>
      <c r="BD179" t="s">
        <v>249</v>
      </c>
      <c r="BE179" t="s">
        <v>250</v>
      </c>
    </row>
    <row r="180" spans="1:57" x14ac:dyDescent="0.3">
      <c r="A180" s="7">
        <v>195</v>
      </c>
      <c r="B180" t="s">
        <v>211</v>
      </c>
      <c r="C180" t="s">
        <v>212</v>
      </c>
      <c r="D180" t="s">
        <v>251</v>
      </c>
      <c r="E180" t="s">
        <v>235</v>
      </c>
      <c r="F180" t="s">
        <v>252</v>
      </c>
      <c r="G180">
        <v>908367</v>
      </c>
      <c r="I180" t="s">
        <v>238</v>
      </c>
      <c r="J180" t="s">
        <v>239</v>
      </c>
      <c r="K180" t="s">
        <v>240</v>
      </c>
      <c r="L180">
        <v>18205131619</v>
      </c>
      <c r="N180" t="s">
        <v>253</v>
      </c>
      <c r="O180" s="2">
        <v>45800</v>
      </c>
      <c r="P180" s="2">
        <v>46530</v>
      </c>
      <c r="Q180" t="s">
        <v>65</v>
      </c>
      <c r="R180" t="s">
        <v>86</v>
      </c>
      <c r="S180" t="s">
        <v>155</v>
      </c>
      <c r="T180" t="s">
        <v>254</v>
      </c>
      <c r="U180" t="s">
        <v>235</v>
      </c>
      <c r="V180" t="s">
        <v>57</v>
      </c>
      <c r="W180" t="s">
        <v>184</v>
      </c>
      <c r="X180" t="s">
        <v>232</v>
      </c>
      <c r="Y180">
        <v>13092381866</v>
      </c>
      <c r="Z180" t="s">
        <v>113</v>
      </c>
      <c r="AA180" t="s">
        <v>159</v>
      </c>
      <c r="AB180" t="s">
        <v>65</v>
      </c>
      <c r="AC180">
        <v>550</v>
      </c>
      <c r="AD180" t="s">
        <v>69</v>
      </c>
      <c r="AE180">
        <v>5</v>
      </c>
      <c r="AH180">
        <v>16.5</v>
      </c>
      <c r="AP180" t="s">
        <v>93</v>
      </c>
      <c r="AQ180" t="s">
        <v>94</v>
      </c>
      <c r="AR180" t="s">
        <v>255</v>
      </c>
      <c r="AS180" t="s">
        <v>256</v>
      </c>
      <c r="AT180">
        <v>8</v>
      </c>
      <c r="AU180">
        <v>12</v>
      </c>
      <c r="AV180">
        <v>15.5</v>
      </c>
      <c r="AW180">
        <v>5</v>
      </c>
      <c r="AZ180">
        <v>222046</v>
      </c>
      <c r="BB180" t="s">
        <v>248</v>
      </c>
      <c r="BD180" t="s">
        <v>249</v>
      </c>
      <c r="BE180" t="s">
        <v>250</v>
      </c>
    </row>
    <row r="181" spans="1:57" x14ac:dyDescent="0.3">
      <c r="A181" s="7">
        <v>196</v>
      </c>
      <c r="B181" t="s">
        <v>211</v>
      </c>
      <c r="C181" t="s">
        <v>212</v>
      </c>
      <c r="D181" t="s">
        <v>257</v>
      </c>
      <c r="E181" t="s">
        <v>235</v>
      </c>
      <c r="F181" t="s">
        <v>252</v>
      </c>
      <c r="G181">
        <v>908368</v>
      </c>
      <c r="I181" t="s">
        <v>239</v>
      </c>
      <c r="J181" t="s">
        <v>239</v>
      </c>
      <c r="K181" t="s">
        <v>240</v>
      </c>
      <c r="L181">
        <v>18205131619</v>
      </c>
      <c r="N181" t="s">
        <v>258</v>
      </c>
      <c r="O181" s="2">
        <v>45800</v>
      </c>
      <c r="P181" s="2">
        <v>46530</v>
      </c>
      <c r="Q181" t="s">
        <v>65</v>
      </c>
      <c r="R181" t="s">
        <v>86</v>
      </c>
      <c r="S181" t="s">
        <v>155</v>
      </c>
      <c r="T181" t="s">
        <v>259</v>
      </c>
      <c r="U181" t="s">
        <v>235</v>
      </c>
      <c r="V181" t="s">
        <v>57</v>
      </c>
      <c r="W181" t="s">
        <v>184</v>
      </c>
      <c r="X181" t="s">
        <v>232</v>
      </c>
      <c r="Y181">
        <v>13092381866</v>
      </c>
      <c r="Z181" t="s">
        <v>113</v>
      </c>
      <c r="AA181" t="s">
        <v>159</v>
      </c>
      <c r="AB181" t="s">
        <v>65</v>
      </c>
      <c r="AC181">
        <v>550</v>
      </c>
      <c r="AD181" t="s">
        <v>69</v>
      </c>
      <c r="AE181">
        <v>5</v>
      </c>
      <c r="AH181">
        <v>16.5</v>
      </c>
      <c r="AP181" t="s">
        <v>93</v>
      </c>
      <c r="AQ181" t="s">
        <v>94</v>
      </c>
      <c r="AR181" t="s">
        <v>260</v>
      </c>
      <c r="AS181" t="s">
        <v>256</v>
      </c>
      <c r="AT181">
        <v>8</v>
      </c>
      <c r="AU181">
        <v>12</v>
      </c>
      <c r="AV181">
        <v>15.5</v>
      </c>
      <c r="AW181">
        <v>5</v>
      </c>
      <c r="AZ181">
        <v>222046</v>
      </c>
      <c r="BB181" t="s">
        <v>248</v>
      </c>
      <c r="BD181" t="s">
        <v>249</v>
      </c>
      <c r="BE181" t="s">
        <v>250</v>
      </c>
    </row>
    <row r="182" spans="1:57" x14ac:dyDescent="0.3">
      <c r="A182" s="7">
        <v>197</v>
      </c>
      <c r="B182" t="s">
        <v>211</v>
      </c>
      <c r="C182" t="s">
        <v>212</v>
      </c>
      <c r="D182" t="s">
        <v>261</v>
      </c>
      <c r="E182" t="s">
        <v>235</v>
      </c>
      <c r="F182" t="s">
        <v>236</v>
      </c>
      <c r="G182" t="s">
        <v>262</v>
      </c>
      <c r="I182" t="s">
        <v>238</v>
      </c>
      <c r="J182" t="s">
        <v>239</v>
      </c>
      <c r="K182" t="s">
        <v>240</v>
      </c>
      <c r="L182">
        <v>18205131619</v>
      </c>
      <c r="N182" t="s">
        <v>263</v>
      </c>
      <c r="O182" s="2">
        <v>45800</v>
      </c>
      <c r="P182" s="2">
        <v>46530</v>
      </c>
      <c r="Q182" t="s">
        <v>65</v>
      </c>
      <c r="R182" t="s">
        <v>86</v>
      </c>
      <c r="S182" t="s">
        <v>155</v>
      </c>
      <c r="T182" t="s">
        <v>264</v>
      </c>
      <c r="U182" t="s">
        <v>235</v>
      </c>
      <c r="V182" t="s">
        <v>57</v>
      </c>
      <c r="W182" t="s">
        <v>243</v>
      </c>
      <c r="X182" t="s">
        <v>244</v>
      </c>
      <c r="Z182" t="s">
        <v>113</v>
      </c>
      <c r="AA182" t="s">
        <v>159</v>
      </c>
      <c r="AB182" t="s">
        <v>65</v>
      </c>
      <c r="AC182">
        <v>550</v>
      </c>
      <c r="AD182" t="s">
        <v>69</v>
      </c>
      <c r="AE182">
        <v>5</v>
      </c>
      <c r="AF182">
        <v>99999999.900000006</v>
      </c>
      <c r="AH182">
        <v>19</v>
      </c>
      <c r="AP182" t="s">
        <v>93</v>
      </c>
      <c r="AQ182" t="s">
        <v>94</v>
      </c>
      <c r="AR182" t="s">
        <v>265</v>
      </c>
      <c r="AS182" t="s">
        <v>246</v>
      </c>
      <c r="AT182">
        <v>8</v>
      </c>
      <c r="AU182">
        <v>12</v>
      </c>
      <c r="AV182">
        <v>15.5</v>
      </c>
      <c r="AW182">
        <v>5</v>
      </c>
      <c r="AZ182">
        <v>222000</v>
      </c>
      <c r="BA182" t="s">
        <v>247</v>
      </c>
      <c r="BB182" t="s">
        <v>248</v>
      </c>
      <c r="BD182" t="s">
        <v>249</v>
      </c>
      <c r="BE182" t="s">
        <v>250</v>
      </c>
    </row>
    <row r="183" spans="1:57" x14ac:dyDescent="0.3">
      <c r="A183" s="7">
        <v>198</v>
      </c>
      <c r="B183" t="s">
        <v>211</v>
      </c>
      <c r="C183" t="s">
        <v>212</v>
      </c>
      <c r="D183" t="s">
        <v>266</v>
      </c>
      <c r="E183" t="s">
        <v>62</v>
      </c>
      <c r="F183" t="s">
        <v>267</v>
      </c>
      <c r="G183" t="s">
        <v>268</v>
      </c>
      <c r="H183" s="3">
        <v>39356</v>
      </c>
      <c r="I183" t="s">
        <v>269</v>
      </c>
      <c r="J183" t="s">
        <v>270</v>
      </c>
      <c r="K183" t="s">
        <v>229</v>
      </c>
      <c r="L183">
        <v>15240337632</v>
      </c>
      <c r="N183" t="s">
        <v>271</v>
      </c>
      <c r="O183" s="2">
        <v>45800</v>
      </c>
      <c r="P183" s="2">
        <v>46530</v>
      </c>
      <c r="Q183" t="s">
        <v>65</v>
      </c>
      <c r="R183" t="s">
        <v>86</v>
      </c>
      <c r="S183" t="s">
        <v>155</v>
      </c>
      <c r="T183" t="s">
        <v>272</v>
      </c>
      <c r="U183" t="s">
        <v>62</v>
      </c>
      <c r="V183" t="s">
        <v>57</v>
      </c>
      <c r="W183" t="s">
        <v>273</v>
      </c>
      <c r="X183" t="s">
        <v>232</v>
      </c>
      <c r="Z183" t="s">
        <v>113</v>
      </c>
      <c r="AA183" t="s">
        <v>159</v>
      </c>
      <c r="AB183" t="s">
        <v>65</v>
      </c>
      <c r="AC183">
        <v>750</v>
      </c>
      <c r="AD183" t="s">
        <v>69</v>
      </c>
      <c r="AE183">
        <v>25</v>
      </c>
      <c r="AF183">
        <v>612</v>
      </c>
      <c r="AP183" t="s">
        <v>93</v>
      </c>
      <c r="AS183" t="s">
        <v>274</v>
      </c>
      <c r="AT183">
        <v>60</v>
      </c>
      <c r="AU183">
        <v>28</v>
      </c>
      <c r="AV183">
        <v>28</v>
      </c>
      <c r="AW183">
        <v>25</v>
      </c>
      <c r="AZ183">
        <v>222000</v>
      </c>
      <c r="BA183" t="s">
        <v>247</v>
      </c>
    </row>
    <row r="184" spans="1:57" x14ac:dyDescent="0.3">
      <c r="A184" s="7">
        <v>199</v>
      </c>
      <c r="B184" t="s">
        <v>211</v>
      </c>
      <c r="C184" t="s">
        <v>212</v>
      </c>
      <c r="D184" t="s">
        <v>295</v>
      </c>
      <c r="E184" t="s">
        <v>235</v>
      </c>
      <c r="F184" t="s">
        <v>236</v>
      </c>
      <c r="G184" t="s">
        <v>296</v>
      </c>
      <c r="I184" t="s">
        <v>238</v>
      </c>
      <c r="J184" t="s">
        <v>239</v>
      </c>
      <c r="K184" t="s">
        <v>240</v>
      </c>
      <c r="L184">
        <v>18205131619</v>
      </c>
      <c r="N184" t="s">
        <v>297</v>
      </c>
      <c r="O184" s="2">
        <v>45800</v>
      </c>
      <c r="P184" s="2">
        <v>46530</v>
      </c>
      <c r="Q184" t="s">
        <v>65</v>
      </c>
      <c r="R184" t="s">
        <v>86</v>
      </c>
      <c r="S184" t="s">
        <v>155</v>
      </c>
      <c r="T184" t="s">
        <v>298</v>
      </c>
      <c r="U184" t="s">
        <v>299</v>
      </c>
      <c r="V184" t="s">
        <v>57</v>
      </c>
      <c r="W184" t="s">
        <v>243</v>
      </c>
      <c r="X184" t="s">
        <v>244</v>
      </c>
      <c r="Z184" t="s">
        <v>113</v>
      </c>
      <c r="AA184" t="s">
        <v>159</v>
      </c>
      <c r="AB184" t="s">
        <v>65</v>
      </c>
      <c r="AC184">
        <v>550</v>
      </c>
      <c r="AD184" t="s">
        <v>69</v>
      </c>
      <c r="AE184">
        <v>5</v>
      </c>
      <c r="AF184">
        <v>99999999.900000006</v>
      </c>
      <c r="AH184">
        <v>19</v>
      </c>
      <c r="AP184" t="s">
        <v>93</v>
      </c>
      <c r="AQ184" t="s">
        <v>94</v>
      </c>
      <c r="AR184" t="s">
        <v>300</v>
      </c>
      <c r="AS184" t="s">
        <v>246</v>
      </c>
      <c r="AT184">
        <v>8</v>
      </c>
      <c r="AU184">
        <v>12</v>
      </c>
      <c r="AV184">
        <v>15.5</v>
      </c>
      <c r="AW184">
        <v>5</v>
      </c>
      <c r="AZ184">
        <v>222046</v>
      </c>
      <c r="BB184" t="s">
        <v>248</v>
      </c>
      <c r="BD184" t="s">
        <v>249</v>
      </c>
      <c r="BE184" t="s">
        <v>250</v>
      </c>
    </row>
    <row r="185" spans="1:57" x14ac:dyDescent="0.3">
      <c r="A185" s="7">
        <v>200</v>
      </c>
      <c r="B185" t="s">
        <v>211</v>
      </c>
      <c r="C185" t="s">
        <v>212</v>
      </c>
      <c r="D185" t="s">
        <v>301</v>
      </c>
      <c r="E185" t="s">
        <v>235</v>
      </c>
      <c r="F185" t="s">
        <v>236</v>
      </c>
      <c r="G185" t="s">
        <v>302</v>
      </c>
      <c r="I185" t="s">
        <v>238</v>
      </c>
      <c r="J185" t="s">
        <v>239</v>
      </c>
      <c r="K185" t="s">
        <v>240</v>
      </c>
      <c r="L185">
        <v>18205131619</v>
      </c>
      <c r="N185" t="s">
        <v>303</v>
      </c>
      <c r="O185" s="2">
        <v>45800</v>
      </c>
      <c r="P185" s="2">
        <v>46530</v>
      </c>
      <c r="Q185" t="s">
        <v>65</v>
      </c>
      <c r="R185" t="s">
        <v>86</v>
      </c>
      <c r="S185" t="s">
        <v>155</v>
      </c>
      <c r="T185" t="s">
        <v>304</v>
      </c>
      <c r="U185" t="s">
        <v>235</v>
      </c>
      <c r="V185" t="s">
        <v>57</v>
      </c>
      <c r="W185" t="s">
        <v>243</v>
      </c>
      <c r="X185" t="s">
        <v>244</v>
      </c>
      <c r="Z185" t="s">
        <v>113</v>
      </c>
      <c r="AA185" t="s">
        <v>159</v>
      </c>
      <c r="AB185" t="s">
        <v>65</v>
      </c>
      <c r="AC185">
        <v>550</v>
      </c>
      <c r="AD185" t="s">
        <v>69</v>
      </c>
      <c r="AE185">
        <v>5</v>
      </c>
      <c r="AF185">
        <v>99999999.900000006</v>
      </c>
      <c r="AH185">
        <v>19</v>
      </c>
      <c r="AP185" t="s">
        <v>93</v>
      </c>
      <c r="AQ185" t="s">
        <v>94</v>
      </c>
      <c r="AR185" t="s">
        <v>305</v>
      </c>
      <c r="AS185" t="s">
        <v>246</v>
      </c>
      <c r="AT185">
        <v>8</v>
      </c>
      <c r="AU185">
        <v>12</v>
      </c>
      <c r="AV185">
        <v>15.5</v>
      </c>
      <c r="AW185">
        <v>5</v>
      </c>
      <c r="AZ185">
        <v>222000</v>
      </c>
      <c r="BA185" t="s">
        <v>247</v>
      </c>
      <c r="BB185" t="s">
        <v>248</v>
      </c>
      <c r="BD185" t="s">
        <v>249</v>
      </c>
      <c r="BE185" t="s">
        <v>250</v>
      </c>
    </row>
    <row r="186" spans="1:57" x14ac:dyDescent="0.3">
      <c r="A186" s="7">
        <v>201</v>
      </c>
      <c r="B186" t="s">
        <v>211</v>
      </c>
      <c r="C186" t="s">
        <v>212</v>
      </c>
      <c r="D186" t="s">
        <v>306</v>
      </c>
      <c r="E186" t="s">
        <v>235</v>
      </c>
      <c r="F186" t="s">
        <v>252</v>
      </c>
      <c r="G186">
        <v>908369</v>
      </c>
      <c r="H186" s="3">
        <v>40239</v>
      </c>
      <c r="I186" t="s">
        <v>238</v>
      </c>
      <c r="J186" t="s">
        <v>239</v>
      </c>
      <c r="K186" t="s">
        <v>240</v>
      </c>
      <c r="L186">
        <v>18205131619</v>
      </c>
      <c r="N186" t="s">
        <v>307</v>
      </c>
      <c r="O186" s="2">
        <v>45800</v>
      </c>
      <c r="P186" s="2">
        <v>46530</v>
      </c>
      <c r="Q186" t="s">
        <v>65</v>
      </c>
      <c r="R186" t="s">
        <v>86</v>
      </c>
      <c r="S186" t="s">
        <v>155</v>
      </c>
      <c r="T186" t="s">
        <v>308</v>
      </c>
      <c r="U186" t="s">
        <v>235</v>
      </c>
      <c r="V186" t="s">
        <v>57</v>
      </c>
      <c r="W186" t="s">
        <v>184</v>
      </c>
      <c r="X186" t="s">
        <v>232</v>
      </c>
      <c r="Y186">
        <v>13092381866</v>
      </c>
      <c r="Z186" t="s">
        <v>113</v>
      </c>
      <c r="AA186" t="s">
        <v>159</v>
      </c>
      <c r="AB186" t="s">
        <v>65</v>
      </c>
      <c r="AC186">
        <v>550</v>
      </c>
      <c r="AD186" t="s">
        <v>69</v>
      </c>
      <c r="AE186">
        <v>5</v>
      </c>
      <c r="AH186">
        <v>16.5</v>
      </c>
      <c r="AP186" t="s">
        <v>93</v>
      </c>
      <c r="AQ186" t="s">
        <v>94</v>
      </c>
      <c r="AR186" t="s">
        <v>309</v>
      </c>
      <c r="AS186" t="s">
        <v>256</v>
      </c>
      <c r="AT186">
        <v>8</v>
      </c>
      <c r="AU186">
        <v>12</v>
      </c>
      <c r="AV186">
        <v>15.5</v>
      </c>
      <c r="AW186">
        <v>5</v>
      </c>
      <c r="AZ186">
        <v>222046</v>
      </c>
      <c r="BB186" t="s">
        <v>248</v>
      </c>
      <c r="BD186" t="s">
        <v>249</v>
      </c>
      <c r="BE186" t="s">
        <v>250</v>
      </c>
    </row>
    <row r="187" spans="1:57" x14ac:dyDescent="0.3">
      <c r="A187" s="7">
        <v>202</v>
      </c>
      <c r="B187" t="s">
        <v>211</v>
      </c>
      <c r="C187" t="s">
        <v>212</v>
      </c>
      <c r="D187" t="s">
        <v>310</v>
      </c>
      <c r="E187" t="s">
        <v>235</v>
      </c>
      <c r="F187" t="s">
        <v>252</v>
      </c>
      <c r="G187">
        <v>908366</v>
      </c>
      <c r="I187" t="s">
        <v>238</v>
      </c>
      <c r="J187" t="s">
        <v>239</v>
      </c>
      <c r="K187" t="s">
        <v>240</v>
      </c>
      <c r="L187">
        <v>18205131619</v>
      </c>
      <c r="N187" t="s">
        <v>311</v>
      </c>
      <c r="O187" s="2">
        <v>45800</v>
      </c>
      <c r="P187" s="2">
        <v>46530</v>
      </c>
      <c r="Q187" t="s">
        <v>65</v>
      </c>
      <c r="R187" t="s">
        <v>86</v>
      </c>
      <c r="S187" t="s">
        <v>155</v>
      </c>
      <c r="T187" t="s">
        <v>312</v>
      </c>
      <c r="U187" t="s">
        <v>235</v>
      </c>
      <c r="V187" t="s">
        <v>57</v>
      </c>
      <c r="W187" t="s">
        <v>184</v>
      </c>
      <c r="X187" t="s">
        <v>232</v>
      </c>
      <c r="Y187">
        <v>13092381866</v>
      </c>
      <c r="Z187" t="s">
        <v>113</v>
      </c>
      <c r="AA187" t="s">
        <v>159</v>
      </c>
      <c r="AB187" t="s">
        <v>65</v>
      </c>
      <c r="AC187">
        <v>550</v>
      </c>
      <c r="AD187" t="s">
        <v>69</v>
      </c>
      <c r="AE187">
        <v>5</v>
      </c>
      <c r="AH187">
        <v>16.5</v>
      </c>
      <c r="AP187" t="s">
        <v>93</v>
      </c>
      <c r="AQ187" t="s">
        <v>94</v>
      </c>
      <c r="AR187" t="s">
        <v>313</v>
      </c>
      <c r="AS187" t="s">
        <v>256</v>
      </c>
      <c r="AT187">
        <v>8</v>
      </c>
      <c r="AU187">
        <v>12</v>
      </c>
      <c r="AV187">
        <v>15.5</v>
      </c>
      <c r="AW187">
        <v>5</v>
      </c>
      <c r="AZ187">
        <v>222046</v>
      </c>
      <c r="BB187" t="s">
        <v>248</v>
      </c>
      <c r="BD187" t="s">
        <v>249</v>
      </c>
      <c r="BE187" t="s">
        <v>250</v>
      </c>
    </row>
    <row r="188" spans="1:57" x14ac:dyDescent="0.3">
      <c r="A188" s="7">
        <v>203</v>
      </c>
      <c r="B188" t="s">
        <v>211</v>
      </c>
      <c r="C188" t="s">
        <v>212</v>
      </c>
      <c r="D188" t="s">
        <v>314</v>
      </c>
      <c r="E188" t="s">
        <v>62</v>
      </c>
      <c r="F188" t="s">
        <v>315</v>
      </c>
      <c r="G188" t="s">
        <v>316</v>
      </c>
      <c r="H188" s="3">
        <v>42663</v>
      </c>
      <c r="I188" t="s">
        <v>317</v>
      </c>
      <c r="J188" t="s">
        <v>270</v>
      </c>
      <c r="K188" t="s">
        <v>318</v>
      </c>
      <c r="L188">
        <v>15240337632</v>
      </c>
      <c r="N188" t="s">
        <v>319</v>
      </c>
      <c r="O188" s="2">
        <v>45800</v>
      </c>
      <c r="P188" s="2">
        <v>46530</v>
      </c>
      <c r="Q188" t="s">
        <v>65</v>
      </c>
      <c r="R188" t="s">
        <v>86</v>
      </c>
      <c r="S188" t="s">
        <v>155</v>
      </c>
      <c r="T188" t="s">
        <v>320</v>
      </c>
      <c r="U188" t="s">
        <v>321</v>
      </c>
      <c r="V188" t="s">
        <v>57</v>
      </c>
      <c r="W188" t="s">
        <v>322</v>
      </c>
      <c r="X188" t="s">
        <v>232</v>
      </c>
      <c r="Y188">
        <v>51882383968</v>
      </c>
      <c r="Z188" t="s">
        <v>113</v>
      </c>
      <c r="AA188" t="s">
        <v>159</v>
      </c>
      <c r="AB188" t="s">
        <v>65</v>
      </c>
      <c r="AC188">
        <v>750</v>
      </c>
      <c r="AD188" t="s">
        <v>69</v>
      </c>
      <c r="AE188">
        <v>25</v>
      </c>
      <c r="AF188">
        <v>710</v>
      </c>
      <c r="AK188">
        <v>50</v>
      </c>
      <c r="AP188" t="s">
        <v>93</v>
      </c>
      <c r="AS188" t="s">
        <v>323</v>
      </c>
      <c r="AT188">
        <v>50</v>
      </c>
      <c r="AU188">
        <v>30</v>
      </c>
      <c r="AV188">
        <v>28</v>
      </c>
      <c r="AW188">
        <v>25</v>
      </c>
      <c r="AZ188">
        <v>222000</v>
      </c>
      <c r="BA188" t="s">
        <v>247</v>
      </c>
    </row>
    <row r="189" spans="1:57" x14ac:dyDescent="0.3">
      <c r="A189" s="7">
        <v>204</v>
      </c>
      <c r="B189" t="s">
        <v>211</v>
      </c>
      <c r="C189" t="s">
        <v>212</v>
      </c>
      <c r="D189" t="s">
        <v>324</v>
      </c>
      <c r="E189" t="s">
        <v>325</v>
      </c>
      <c r="F189" t="s">
        <v>326</v>
      </c>
      <c r="G189">
        <v>16090554</v>
      </c>
      <c r="H189" s="3">
        <v>42856</v>
      </c>
      <c r="I189" t="s">
        <v>327</v>
      </c>
      <c r="J189" t="s">
        <v>270</v>
      </c>
      <c r="K189" t="s">
        <v>229</v>
      </c>
      <c r="L189">
        <v>15240337632</v>
      </c>
      <c r="N189" t="s">
        <v>83</v>
      </c>
      <c r="O189" s="2">
        <v>45800</v>
      </c>
      <c r="P189" s="2">
        <v>46530</v>
      </c>
      <c r="Q189" t="s">
        <v>65</v>
      </c>
      <c r="R189" t="s">
        <v>86</v>
      </c>
      <c r="S189" t="s">
        <v>155</v>
      </c>
      <c r="T189" t="s">
        <v>328</v>
      </c>
      <c r="U189" t="s">
        <v>325</v>
      </c>
      <c r="V189" t="s">
        <v>57</v>
      </c>
      <c r="W189" t="s">
        <v>329</v>
      </c>
      <c r="X189" t="s">
        <v>244</v>
      </c>
      <c r="Y189">
        <v>18366522256</v>
      </c>
      <c r="Z189" t="s">
        <v>113</v>
      </c>
      <c r="AA189" t="s">
        <v>159</v>
      </c>
      <c r="AB189" t="s">
        <v>65</v>
      </c>
      <c r="AC189">
        <v>825</v>
      </c>
      <c r="AD189" t="s">
        <v>69</v>
      </c>
      <c r="AE189">
        <v>5</v>
      </c>
      <c r="AH189">
        <v>24.5</v>
      </c>
      <c r="AK189">
        <v>10</v>
      </c>
      <c r="AP189" t="s">
        <v>163</v>
      </c>
      <c r="AQ189" t="s">
        <v>94</v>
      </c>
      <c r="AS189" t="s">
        <v>330</v>
      </c>
      <c r="AT189" s="4">
        <v>45726</v>
      </c>
      <c r="AU189">
        <v>9</v>
      </c>
      <c r="AV189">
        <v>15.5</v>
      </c>
      <c r="AW189">
        <v>5</v>
      </c>
      <c r="AZ189">
        <v>222024</v>
      </c>
      <c r="BB189" t="s">
        <v>248</v>
      </c>
      <c r="BD189" t="s">
        <v>249</v>
      </c>
      <c r="BE189" t="s">
        <v>331</v>
      </c>
    </row>
    <row r="190" spans="1:57" x14ac:dyDescent="0.3">
      <c r="A190" s="7">
        <v>205</v>
      </c>
      <c r="B190" t="s">
        <v>211</v>
      </c>
      <c r="C190" t="s">
        <v>212</v>
      </c>
      <c r="D190" t="s">
        <v>332</v>
      </c>
      <c r="E190" t="s">
        <v>62</v>
      </c>
      <c r="F190" t="s">
        <v>315</v>
      </c>
      <c r="G190" t="s">
        <v>333</v>
      </c>
      <c r="H190" s="3">
        <v>42663</v>
      </c>
      <c r="I190" t="s">
        <v>317</v>
      </c>
      <c r="J190" t="s">
        <v>270</v>
      </c>
      <c r="K190" t="s">
        <v>318</v>
      </c>
      <c r="L190">
        <v>15240337632</v>
      </c>
      <c r="N190" t="s">
        <v>334</v>
      </c>
      <c r="O190" s="2">
        <v>45800</v>
      </c>
      <c r="P190" s="2">
        <v>46530</v>
      </c>
      <c r="Q190" t="s">
        <v>65</v>
      </c>
      <c r="R190" t="s">
        <v>86</v>
      </c>
      <c r="S190" t="s">
        <v>155</v>
      </c>
      <c r="T190" t="s">
        <v>335</v>
      </c>
      <c r="U190" t="s">
        <v>321</v>
      </c>
      <c r="V190" t="s">
        <v>57</v>
      </c>
      <c r="W190" t="s">
        <v>322</v>
      </c>
      <c r="X190" t="s">
        <v>232</v>
      </c>
      <c r="Y190">
        <v>51882383968</v>
      </c>
      <c r="Z190" t="s">
        <v>113</v>
      </c>
      <c r="AA190" t="s">
        <v>159</v>
      </c>
      <c r="AB190" t="s">
        <v>65</v>
      </c>
      <c r="AC190">
        <v>750</v>
      </c>
      <c r="AD190" t="s">
        <v>69</v>
      </c>
      <c r="AE190">
        <v>25</v>
      </c>
      <c r="AF190">
        <v>975</v>
      </c>
      <c r="AK190">
        <v>50</v>
      </c>
      <c r="AP190" t="s">
        <v>93</v>
      </c>
      <c r="AS190" t="s">
        <v>323</v>
      </c>
      <c r="AT190">
        <v>50</v>
      </c>
      <c r="AU190">
        <v>30</v>
      </c>
      <c r="AV190">
        <v>28</v>
      </c>
      <c r="AW190">
        <v>25</v>
      </c>
      <c r="AZ190">
        <v>222000</v>
      </c>
      <c r="BA190" t="s">
        <v>247</v>
      </c>
    </row>
    <row r="191" spans="1:57" x14ac:dyDescent="0.3">
      <c r="A191" s="7">
        <v>206</v>
      </c>
      <c r="B191" t="s">
        <v>211</v>
      </c>
      <c r="C191" t="s">
        <v>212</v>
      </c>
      <c r="D191" t="s">
        <v>336</v>
      </c>
      <c r="E191" t="s">
        <v>62</v>
      </c>
      <c r="F191" t="s">
        <v>315</v>
      </c>
      <c r="G191" t="s">
        <v>337</v>
      </c>
      <c r="H191" s="3">
        <v>42663</v>
      </c>
      <c r="I191" t="s">
        <v>317</v>
      </c>
      <c r="J191" t="s">
        <v>270</v>
      </c>
      <c r="K191" t="s">
        <v>318</v>
      </c>
      <c r="L191">
        <v>15240337632</v>
      </c>
      <c r="N191" t="s">
        <v>338</v>
      </c>
      <c r="O191" s="2">
        <v>45800</v>
      </c>
      <c r="P191" s="2">
        <v>46530</v>
      </c>
      <c r="Q191" t="s">
        <v>65</v>
      </c>
      <c r="R191" t="s">
        <v>86</v>
      </c>
      <c r="S191" t="s">
        <v>155</v>
      </c>
      <c r="T191" t="s">
        <v>339</v>
      </c>
      <c r="U191" t="s">
        <v>321</v>
      </c>
      <c r="V191" t="s">
        <v>57</v>
      </c>
      <c r="W191" t="s">
        <v>322</v>
      </c>
      <c r="X191" t="s">
        <v>232</v>
      </c>
      <c r="Y191">
        <v>51882383968</v>
      </c>
      <c r="Z191" t="s">
        <v>113</v>
      </c>
      <c r="AA191" t="s">
        <v>159</v>
      </c>
      <c r="AB191" t="s">
        <v>65</v>
      </c>
      <c r="AC191">
        <v>750</v>
      </c>
      <c r="AD191" t="s">
        <v>69</v>
      </c>
      <c r="AE191">
        <v>25</v>
      </c>
      <c r="AF191">
        <v>975</v>
      </c>
      <c r="AK191">
        <v>50</v>
      </c>
      <c r="AP191" t="s">
        <v>93</v>
      </c>
      <c r="AS191" t="s">
        <v>323</v>
      </c>
      <c r="AT191">
        <v>50</v>
      </c>
      <c r="AU191">
        <v>30</v>
      </c>
      <c r="AV191">
        <v>28</v>
      </c>
      <c r="AW191">
        <v>25</v>
      </c>
      <c r="AZ191">
        <v>222000</v>
      </c>
      <c r="BA191" t="s">
        <v>247</v>
      </c>
    </row>
    <row r="192" spans="1:57" x14ac:dyDescent="0.3">
      <c r="A192" s="7">
        <v>207</v>
      </c>
      <c r="B192" t="s">
        <v>211</v>
      </c>
      <c r="C192" t="s">
        <v>212</v>
      </c>
      <c r="D192" t="s">
        <v>340</v>
      </c>
      <c r="E192" t="s">
        <v>214</v>
      </c>
      <c r="F192" t="s">
        <v>341</v>
      </c>
      <c r="G192">
        <v>1010410</v>
      </c>
      <c r="H192" s="2">
        <v>41426</v>
      </c>
      <c r="I192" t="s">
        <v>228</v>
      </c>
      <c r="J192" t="s">
        <v>270</v>
      </c>
      <c r="K192" t="s">
        <v>229</v>
      </c>
      <c r="L192">
        <v>15240337632</v>
      </c>
      <c r="M192">
        <v>15240337632</v>
      </c>
      <c r="N192" t="s">
        <v>342</v>
      </c>
      <c r="O192" s="2">
        <v>45800</v>
      </c>
      <c r="P192" s="2">
        <v>46165</v>
      </c>
      <c r="Q192" t="s">
        <v>65</v>
      </c>
      <c r="R192" t="s">
        <v>86</v>
      </c>
      <c r="S192" t="s">
        <v>155</v>
      </c>
      <c r="T192" t="s">
        <v>343</v>
      </c>
      <c r="U192" t="s">
        <v>214</v>
      </c>
      <c r="V192" t="s">
        <v>57</v>
      </c>
      <c r="W192" t="s">
        <v>184</v>
      </c>
      <c r="X192" t="s">
        <v>232</v>
      </c>
      <c r="Y192">
        <v>15961383478</v>
      </c>
      <c r="Z192" t="s">
        <v>113</v>
      </c>
      <c r="AA192" t="s">
        <v>159</v>
      </c>
      <c r="AB192" t="s">
        <v>65</v>
      </c>
      <c r="AC192">
        <v>515</v>
      </c>
      <c r="AD192" t="s">
        <v>69</v>
      </c>
      <c r="AE192">
        <v>25</v>
      </c>
      <c r="AF192">
        <v>99</v>
      </c>
      <c r="AK192">
        <v>1.75</v>
      </c>
      <c r="AN192">
        <v>17</v>
      </c>
      <c r="AP192" t="s">
        <v>93</v>
      </c>
      <c r="AS192" t="s">
        <v>344</v>
      </c>
      <c r="AT192">
        <v>1.75</v>
      </c>
      <c r="AU192">
        <v>15</v>
      </c>
      <c r="AV192">
        <v>17</v>
      </c>
      <c r="AW192">
        <v>25</v>
      </c>
      <c r="AZ192">
        <v>222000</v>
      </c>
      <c r="BA192" t="s">
        <v>247</v>
      </c>
    </row>
    <row r="193" spans="1:57" x14ac:dyDescent="0.3">
      <c r="A193" s="7">
        <v>208</v>
      </c>
      <c r="B193" t="s">
        <v>211</v>
      </c>
      <c r="C193" t="s">
        <v>212</v>
      </c>
      <c r="D193" t="s">
        <v>275</v>
      </c>
      <c r="E193" t="s">
        <v>62</v>
      </c>
      <c r="F193" t="s">
        <v>276</v>
      </c>
      <c r="G193" t="s">
        <v>277</v>
      </c>
      <c r="H193" s="3">
        <v>39539</v>
      </c>
      <c r="I193" t="s">
        <v>269</v>
      </c>
      <c r="J193" t="s">
        <v>270</v>
      </c>
      <c r="K193" t="s">
        <v>229</v>
      </c>
      <c r="L193">
        <v>15240337632</v>
      </c>
      <c r="N193" t="s">
        <v>278</v>
      </c>
      <c r="O193" s="2">
        <v>45074</v>
      </c>
      <c r="P193" s="2">
        <v>45805</v>
      </c>
      <c r="Q193" t="s">
        <v>65</v>
      </c>
      <c r="R193" t="s">
        <v>279</v>
      </c>
      <c r="S193" t="s">
        <v>280</v>
      </c>
      <c r="T193" t="s">
        <v>281</v>
      </c>
      <c r="U193" t="s">
        <v>67</v>
      </c>
      <c r="V193" t="s">
        <v>57</v>
      </c>
      <c r="W193" t="s">
        <v>273</v>
      </c>
      <c r="X193" t="s">
        <v>232</v>
      </c>
      <c r="Z193" t="s">
        <v>113</v>
      </c>
      <c r="AA193" t="s">
        <v>159</v>
      </c>
      <c r="AB193" t="s">
        <v>65</v>
      </c>
      <c r="AC193">
        <v>750</v>
      </c>
      <c r="AD193" t="s">
        <v>69</v>
      </c>
      <c r="AE193">
        <v>12</v>
      </c>
      <c r="AF193">
        <v>360</v>
      </c>
      <c r="AP193" t="s">
        <v>93</v>
      </c>
      <c r="AS193" t="s">
        <v>282</v>
      </c>
      <c r="AT193">
        <v>60</v>
      </c>
      <c r="AU193">
        <v>28</v>
      </c>
      <c r="AV193">
        <v>17</v>
      </c>
      <c r="AW193">
        <v>12</v>
      </c>
      <c r="AZ193">
        <v>222000</v>
      </c>
      <c r="BA193" t="s">
        <v>247</v>
      </c>
    </row>
    <row r="194" spans="1:57" x14ac:dyDescent="0.3">
      <c r="A194" s="7">
        <v>209</v>
      </c>
      <c r="B194" t="s">
        <v>1399</v>
      </c>
      <c r="C194" t="s">
        <v>1400</v>
      </c>
      <c r="D194" t="s">
        <v>1401</v>
      </c>
      <c r="E194" t="s">
        <v>557</v>
      </c>
      <c r="F194" t="s">
        <v>1402</v>
      </c>
      <c r="G194" t="s">
        <v>1403</v>
      </c>
      <c r="H194" s="3">
        <v>43802</v>
      </c>
      <c r="I194" t="s">
        <v>216</v>
      </c>
      <c r="J194" t="s">
        <v>944</v>
      </c>
      <c r="K194" t="s">
        <v>975</v>
      </c>
      <c r="L194">
        <v>18036600098</v>
      </c>
      <c r="M194">
        <v>18036600098</v>
      </c>
      <c r="N194" t="s">
        <v>83</v>
      </c>
      <c r="O194" s="2">
        <v>45772</v>
      </c>
      <c r="P194" s="2">
        <v>46137</v>
      </c>
      <c r="Q194" t="s">
        <v>65</v>
      </c>
      <c r="R194" t="s">
        <v>86</v>
      </c>
      <c r="S194" t="s">
        <v>928</v>
      </c>
      <c r="T194" t="s">
        <v>1404</v>
      </c>
      <c r="U194" t="s">
        <v>1405</v>
      </c>
      <c r="V194" t="s">
        <v>57</v>
      </c>
      <c r="X194" t="s">
        <v>926</v>
      </c>
      <c r="Z194" t="s">
        <v>59</v>
      </c>
      <c r="AA194" t="s">
        <v>159</v>
      </c>
      <c r="AB194" t="s">
        <v>65</v>
      </c>
      <c r="AC194">
        <v>815</v>
      </c>
      <c r="AD194" t="s">
        <v>69</v>
      </c>
      <c r="AE194">
        <v>45</v>
      </c>
      <c r="AP194" t="s">
        <v>931</v>
      </c>
      <c r="AS194" t="s">
        <v>1406</v>
      </c>
      <c r="AT194" t="s">
        <v>1407</v>
      </c>
      <c r="AU194">
        <v>15.3</v>
      </c>
      <c r="AZ194">
        <v>222200</v>
      </c>
    </row>
    <row r="195" spans="1:57" x14ac:dyDescent="0.3">
      <c r="A195" s="7">
        <v>210</v>
      </c>
      <c r="B195" t="s">
        <v>1399</v>
      </c>
      <c r="C195" t="s">
        <v>1400</v>
      </c>
      <c r="D195" t="s">
        <v>1408</v>
      </c>
      <c r="E195" t="s">
        <v>62</v>
      </c>
      <c r="F195" t="s">
        <v>922</v>
      </c>
      <c r="G195" t="s">
        <v>1409</v>
      </c>
      <c r="H195" s="3">
        <v>43033</v>
      </c>
      <c r="I195" t="s">
        <v>1410</v>
      </c>
      <c r="J195" t="s">
        <v>944</v>
      </c>
      <c r="K195" t="s">
        <v>975</v>
      </c>
      <c r="L195">
        <v>18036600098</v>
      </c>
      <c r="M195">
        <v>18036600098</v>
      </c>
      <c r="N195" t="s">
        <v>1411</v>
      </c>
      <c r="O195" s="2">
        <v>45397</v>
      </c>
      <c r="P195" s="2">
        <v>46127</v>
      </c>
      <c r="Q195" t="s">
        <v>65</v>
      </c>
      <c r="R195" t="s">
        <v>86</v>
      </c>
      <c r="S195" t="s">
        <v>928</v>
      </c>
      <c r="T195" t="s">
        <v>1412</v>
      </c>
      <c r="U195" t="s">
        <v>930</v>
      </c>
      <c r="V195" t="s">
        <v>57</v>
      </c>
      <c r="W195" t="s">
        <v>322</v>
      </c>
      <c r="X195" t="s">
        <v>986</v>
      </c>
      <c r="Y195">
        <v>15861209968</v>
      </c>
      <c r="Z195" t="s">
        <v>59</v>
      </c>
      <c r="AA195" t="s">
        <v>159</v>
      </c>
      <c r="AB195" t="s">
        <v>65</v>
      </c>
      <c r="AC195">
        <v>1190</v>
      </c>
      <c r="AD195" t="s">
        <v>69</v>
      </c>
      <c r="AE195">
        <v>40</v>
      </c>
      <c r="AF195">
        <v>1800</v>
      </c>
      <c r="AP195" t="s">
        <v>931</v>
      </c>
      <c r="AS195" t="s">
        <v>323</v>
      </c>
      <c r="AT195" t="s">
        <v>1413</v>
      </c>
      <c r="AU195" t="s">
        <v>1414</v>
      </c>
      <c r="AV195">
        <v>40</v>
      </c>
      <c r="AW195">
        <v>40</v>
      </c>
      <c r="AZ195">
        <v>222200</v>
      </c>
    </row>
    <row r="196" spans="1:57" x14ac:dyDescent="0.3">
      <c r="A196" s="7">
        <v>211</v>
      </c>
      <c r="B196" t="s">
        <v>1399</v>
      </c>
      <c r="C196" t="s">
        <v>1400</v>
      </c>
      <c r="D196" t="s">
        <v>1415</v>
      </c>
      <c r="E196" t="s">
        <v>62</v>
      </c>
      <c r="F196" t="s">
        <v>63</v>
      </c>
      <c r="G196" t="s">
        <v>64</v>
      </c>
      <c r="I196" t="s">
        <v>1410</v>
      </c>
      <c r="J196" t="s">
        <v>1416</v>
      </c>
      <c r="K196" t="s">
        <v>975</v>
      </c>
      <c r="L196">
        <v>18036600098</v>
      </c>
      <c r="N196">
        <v>6</v>
      </c>
      <c r="O196" s="2">
        <v>45814</v>
      </c>
      <c r="P196" s="2">
        <v>46544</v>
      </c>
      <c r="Q196" t="s">
        <v>65</v>
      </c>
      <c r="R196" t="s">
        <v>86</v>
      </c>
      <c r="S196" t="s">
        <v>155</v>
      </c>
      <c r="T196" t="s">
        <v>1417</v>
      </c>
      <c r="U196" t="s">
        <v>62</v>
      </c>
      <c r="V196" t="s">
        <v>57</v>
      </c>
      <c r="W196" t="s">
        <v>754</v>
      </c>
      <c r="X196" t="s">
        <v>986</v>
      </c>
      <c r="Y196" t="s">
        <v>1418</v>
      </c>
      <c r="Z196" t="s">
        <v>59</v>
      </c>
      <c r="AA196" t="s">
        <v>159</v>
      </c>
      <c r="AB196" t="s">
        <v>65</v>
      </c>
      <c r="AC196">
        <v>1190</v>
      </c>
      <c r="AD196" t="s">
        <v>69</v>
      </c>
      <c r="AE196">
        <v>40</v>
      </c>
      <c r="AF196">
        <v>1600</v>
      </c>
      <c r="AP196" t="s">
        <v>931</v>
      </c>
      <c r="AS196" t="s">
        <v>642</v>
      </c>
      <c r="AT196" t="s">
        <v>1190</v>
      </c>
      <c r="AU196">
        <f>-16-30</f>
        <v>-46</v>
      </c>
      <c r="AV196">
        <v>36</v>
      </c>
      <c r="AW196">
        <v>40</v>
      </c>
      <c r="AZ196">
        <v>222200</v>
      </c>
    </row>
    <row r="197" spans="1:57" x14ac:dyDescent="0.3">
      <c r="A197" s="7">
        <v>212</v>
      </c>
      <c r="B197" t="s">
        <v>1399</v>
      </c>
      <c r="C197" t="s">
        <v>1400</v>
      </c>
      <c r="D197" t="s">
        <v>1419</v>
      </c>
      <c r="E197" t="s">
        <v>62</v>
      </c>
      <c r="F197" t="s">
        <v>63</v>
      </c>
      <c r="G197" t="s">
        <v>71</v>
      </c>
      <c r="H197" s="3">
        <v>41945</v>
      </c>
      <c r="I197" t="s">
        <v>1410</v>
      </c>
      <c r="J197" t="s">
        <v>1416</v>
      </c>
      <c r="K197" t="s">
        <v>975</v>
      </c>
      <c r="L197">
        <v>18036600098</v>
      </c>
      <c r="N197" t="s">
        <v>479</v>
      </c>
      <c r="O197" s="2">
        <v>45814</v>
      </c>
      <c r="P197" s="2">
        <v>46544</v>
      </c>
      <c r="Q197" t="s">
        <v>65</v>
      </c>
      <c r="R197" t="s">
        <v>86</v>
      </c>
      <c r="S197" t="s">
        <v>155</v>
      </c>
      <c r="T197" t="s">
        <v>1420</v>
      </c>
      <c r="U197" t="s">
        <v>62</v>
      </c>
      <c r="V197" t="s">
        <v>57</v>
      </c>
      <c r="W197" t="s">
        <v>754</v>
      </c>
      <c r="X197" t="s">
        <v>986</v>
      </c>
      <c r="Y197" t="s">
        <v>1418</v>
      </c>
      <c r="Z197" t="s">
        <v>59</v>
      </c>
      <c r="AA197" t="s">
        <v>159</v>
      </c>
      <c r="AB197" t="s">
        <v>65</v>
      </c>
      <c r="AC197">
        <v>1190</v>
      </c>
      <c r="AD197" t="s">
        <v>69</v>
      </c>
      <c r="AE197">
        <v>40</v>
      </c>
      <c r="AF197">
        <v>1600</v>
      </c>
      <c r="AP197" t="s">
        <v>931</v>
      </c>
      <c r="AS197" t="s">
        <v>642</v>
      </c>
      <c r="AT197" t="s">
        <v>1190</v>
      </c>
      <c r="AU197">
        <f>-16-30</f>
        <v>-46</v>
      </c>
      <c r="AV197">
        <v>36</v>
      </c>
      <c r="AW197">
        <v>40</v>
      </c>
      <c r="AZ197">
        <v>222200</v>
      </c>
    </row>
    <row r="198" spans="1:57" x14ac:dyDescent="0.3">
      <c r="A198" s="7">
        <v>213</v>
      </c>
      <c r="B198" t="s">
        <v>1399</v>
      </c>
      <c r="C198" t="s">
        <v>1400</v>
      </c>
      <c r="D198" t="s">
        <v>1421</v>
      </c>
      <c r="E198" t="s">
        <v>62</v>
      </c>
      <c r="F198" t="s">
        <v>922</v>
      </c>
      <c r="G198" t="s">
        <v>1422</v>
      </c>
      <c r="H198" s="3">
        <v>43033</v>
      </c>
      <c r="I198" t="s">
        <v>1410</v>
      </c>
      <c r="J198" t="s">
        <v>944</v>
      </c>
      <c r="K198" t="s">
        <v>975</v>
      </c>
      <c r="L198">
        <v>18036600098</v>
      </c>
      <c r="M198">
        <v>18036600098</v>
      </c>
      <c r="N198" t="s">
        <v>1423</v>
      </c>
      <c r="O198" s="2">
        <v>45397</v>
      </c>
      <c r="P198" s="2">
        <v>46127</v>
      </c>
      <c r="Q198" t="s">
        <v>65</v>
      </c>
      <c r="R198" t="s">
        <v>86</v>
      </c>
      <c r="S198" t="s">
        <v>928</v>
      </c>
      <c r="T198" t="s">
        <v>1424</v>
      </c>
      <c r="U198" t="s">
        <v>930</v>
      </c>
      <c r="V198" t="s">
        <v>57</v>
      </c>
      <c r="W198" t="s">
        <v>322</v>
      </c>
      <c r="X198" t="s">
        <v>986</v>
      </c>
      <c r="Y198">
        <v>15861209968</v>
      </c>
      <c r="Z198" t="s">
        <v>59</v>
      </c>
      <c r="AA198" t="s">
        <v>159</v>
      </c>
      <c r="AB198" t="s">
        <v>65</v>
      </c>
      <c r="AC198">
        <v>1190</v>
      </c>
      <c r="AD198" t="s">
        <v>69</v>
      </c>
      <c r="AE198">
        <v>40</v>
      </c>
      <c r="AF198">
        <v>1800</v>
      </c>
      <c r="AP198" t="s">
        <v>931</v>
      </c>
      <c r="AS198" t="s">
        <v>323</v>
      </c>
      <c r="AT198" t="s">
        <v>1413</v>
      </c>
      <c r="AU198" t="s">
        <v>1414</v>
      </c>
      <c r="AV198">
        <v>40</v>
      </c>
      <c r="AW198">
        <v>40</v>
      </c>
      <c r="AZ198">
        <v>222200</v>
      </c>
    </row>
    <row r="199" spans="1:57" x14ac:dyDescent="0.3">
      <c r="A199" s="7">
        <v>214</v>
      </c>
      <c r="B199" t="s">
        <v>1386</v>
      </c>
      <c r="C199" t="s">
        <v>1387</v>
      </c>
      <c r="D199" t="s">
        <v>1388</v>
      </c>
      <c r="E199" t="s">
        <v>124</v>
      </c>
      <c r="F199" t="s">
        <v>1389</v>
      </c>
      <c r="G199">
        <v>20070432</v>
      </c>
      <c r="H199" s="5">
        <v>44044</v>
      </c>
      <c r="I199" t="s">
        <v>1390</v>
      </c>
      <c r="J199" t="s">
        <v>1391</v>
      </c>
      <c r="K199" t="s">
        <v>1392</v>
      </c>
      <c r="L199">
        <v>15062986521</v>
      </c>
      <c r="O199" s="2">
        <v>44129</v>
      </c>
      <c r="P199" s="2">
        <v>44859</v>
      </c>
      <c r="Q199" t="s">
        <v>65</v>
      </c>
      <c r="R199" t="s">
        <v>1393</v>
      </c>
      <c r="S199" t="s">
        <v>66</v>
      </c>
      <c r="T199" t="s">
        <v>1394</v>
      </c>
      <c r="U199" t="s">
        <v>1395</v>
      </c>
      <c r="V199" t="s">
        <v>57</v>
      </c>
      <c r="X199" t="s">
        <v>1392</v>
      </c>
      <c r="Y199">
        <v>15062986521</v>
      </c>
      <c r="AA199">
        <v>-1</v>
      </c>
      <c r="AB199" t="s">
        <v>132</v>
      </c>
      <c r="AD199" t="s">
        <v>69</v>
      </c>
      <c r="AH199">
        <v>3</v>
      </c>
      <c r="AK199">
        <v>8</v>
      </c>
      <c r="AN199">
        <v>11</v>
      </c>
      <c r="AQ199" t="s">
        <v>94</v>
      </c>
      <c r="AS199" t="s">
        <v>1396</v>
      </c>
      <c r="AT199">
        <v>8</v>
      </c>
      <c r="AU199">
        <v>6</v>
      </c>
      <c r="AV199">
        <v>11</v>
      </c>
      <c r="AW199">
        <v>3</v>
      </c>
      <c r="AZ199">
        <v>222042</v>
      </c>
    </row>
    <row r="200" spans="1:57" x14ac:dyDescent="0.3">
      <c r="A200" s="7">
        <v>215</v>
      </c>
      <c r="B200" t="s">
        <v>1386</v>
      </c>
      <c r="C200" t="s">
        <v>1387</v>
      </c>
      <c r="D200" t="s">
        <v>1397</v>
      </c>
      <c r="E200" t="s">
        <v>124</v>
      </c>
      <c r="F200" t="s">
        <v>1389</v>
      </c>
      <c r="G200">
        <v>20070433</v>
      </c>
      <c r="H200" s="5">
        <v>44044</v>
      </c>
      <c r="I200" t="s">
        <v>1390</v>
      </c>
      <c r="J200" t="s">
        <v>1391</v>
      </c>
      <c r="K200" t="s">
        <v>1392</v>
      </c>
      <c r="L200">
        <v>15062986521</v>
      </c>
      <c r="O200" s="2">
        <v>44129</v>
      </c>
      <c r="P200" s="2">
        <v>44859</v>
      </c>
      <c r="Q200" t="s">
        <v>65</v>
      </c>
      <c r="R200" t="s">
        <v>1393</v>
      </c>
      <c r="S200" t="s">
        <v>66</v>
      </c>
      <c r="T200" t="s">
        <v>1398</v>
      </c>
      <c r="U200" t="s">
        <v>1395</v>
      </c>
      <c r="V200" t="s">
        <v>57</v>
      </c>
      <c r="X200" t="s">
        <v>1392</v>
      </c>
      <c r="Y200">
        <v>15062986521</v>
      </c>
      <c r="AA200">
        <v>-1</v>
      </c>
      <c r="AB200" t="s">
        <v>132</v>
      </c>
      <c r="AD200" t="s">
        <v>69</v>
      </c>
      <c r="AH200">
        <v>3</v>
      </c>
      <c r="AK200">
        <v>8</v>
      </c>
      <c r="AN200">
        <v>11</v>
      </c>
      <c r="AQ200" t="s">
        <v>94</v>
      </c>
      <c r="AS200" t="s">
        <v>1396</v>
      </c>
      <c r="AT200">
        <v>8</v>
      </c>
      <c r="AU200">
        <v>6</v>
      </c>
      <c r="AV200">
        <v>11</v>
      </c>
      <c r="AW200">
        <v>3</v>
      </c>
      <c r="AZ200">
        <v>222042</v>
      </c>
    </row>
    <row r="201" spans="1:57" x14ac:dyDescent="0.3">
      <c r="A201" s="7">
        <v>216</v>
      </c>
      <c r="B201" s="8" t="s">
        <v>72</v>
      </c>
      <c r="C201" s="8" t="s">
        <v>73</v>
      </c>
      <c r="D201" s="8" t="s">
        <v>172</v>
      </c>
      <c r="E201" s="8" t="s">
        <v>124</v>
      </c>
      <c r="F201" s="8" t="s">
        <v>173</v>
      </c>
      <c r="G201" s="8" t="s">
        <v>174</v>
      </c>
      <c r="H201" s="8" t="s">
        <v>56</v>
      </c>
      <c r="I201" s="8" t="s">
        <v>175</v>
      </c>
      <c r="J201" s="8" t="s">
        <v>176</v>
      </c>
      <c r="K201" s="8" t="s">
        <v>177</v>
      </c>
      <c r="L201" s="8" t="s">
        <v>178</v>
      </c>
      <c r="M201" s="8" t="s">
        <v>56</v>
      </c>
      <c r="N201" s="8" t="s">
        <v>56</v>
      </c>
      <c r="O201" s="8" t="s">
        <v>179</v>
      </c>
      <c r="P201" s="8" t="s">
        <v>180</v>
      </c>
      <c r="Q201" s="8" t="s">
        <v>65</v>
      </c>
      <c r="R201" s="8" t="s">
        <v>181</v>
      </c>
      <c r="S201" s="8" t="s">
        <v>182</v>
      </c>
      <c r="T201" s="8" t="s">
        <v>183</v>
      </c>
      <c r="U201" s="8" t="s">
        <v>124</v>
      </c>
      <c r="V201" s="8" t="s">
        <v>57</v>
      </c>
      <c r="W201" s="8" t="s">
        <v>184</v>
      </c>
      <c r="X201" s="8" t="s">
        <v>177</v>
      </c>
      <c r="Y201" s="8" t="s">
        <v>178</v>
      </c>
      <c r="Z201" s="8" t="s">
        <v>113</v>
      </c>
      <c r="AA201" s="8" t="s">
        <v>56</v>
      </c>
      <c r="AB201" s="8" t="s">
        <v>65</v>
      </c>
      <c r="AC201" s="8" t="s">
        <v>56</v>
      </c>
      <c r="AD201" s="8" t="s">
        <v>69</v>
      </c>
      <c r="AE201" s="8" t="s">
        <v>56</v>
      </c>
      <c r="AF201" s="8" t="s">
        <v>56</v>
      </c>
      <c r="AG201" s="8" t="s">
        <v>56</v>
      </c>
      <c r="AH201" s="8" t="s">
        <v>56</v>
      </c>
      <c r="AI201" s="8" t="s">
        <v>56</v>
      </c>
      <c r="AJ201" s="8" t="s">
        <v>56</v>
      </c>
      <c r="AK201" s="8" t="s">
        <v>56</v>
      </c>
      <c r="AL201" s="8" t="s">
        <v>56</v>
      </c>
      <c r="AM201" s="8" t="s">
        <v>56</v>
      </c>
      <c r="AN201" s="8" t="s">
        <v>56</v>
      </c>
      <c r="AO201" s="8" t="s">
        <v>56</v>
      </c>
      <c r="AP201" s="8" t="s">
        <v>93</v>
      </c>
      <c r="AQ201" s="8" t="s">
        <v>56</v>
      </c>
      <c r="AR201" s="8" t="s">
        <v>56</v>
      </c>
      <c r="AS201" s="8" t="s">
        <v>185</v>
      </c>
      <c r="AT201" s="8" t="s">
        <v>56</v>
      </c>
      <c r="AU201" s="8" t="s">
        <v>56</v>
      </c>
      <c r="AV201" s="8" t="s">
        <v>56</v>
      </c>
      <c r="AW201" s="8" t="s">
        <v>56</v>
      </c>
      <c r="AX201" s="8" t="s">
        <v>56</v>
      </c>
      <c r="AY201" s="8" t="s">
        <v>56</v>
      </c>
      <c r="AZ201" s="8" t="s">
        <v>100</v>
      </c>
      <c r="BA201" s="8" t="s">
        <v>56</v>
      </c>
      <c r="BB201" s="8" t="s">
        <v>56</v>
      </c>
      <c r="BC201" s="8" t="s">
        <v>56</v>
      </c>
      <c r="BD201" s="8" t="s">
        <v>56</v>
      </c>
      <c r="BE201" s="8" t="s">
        <v>56</v>
      </c>
    </row>
    <row r="202" spans="1:57" x14ac:dyDescent="0.3">
      <c r="A202" s="7">
        <v>217</v>
      </c>
      <c r="B202" s="8" t="s">
        <v>72</v>
      </c>
      <c r="C202" s="8" t="s">
        <v>73</v>
      </c>
      <c r="D202" s="8" t="s">
        <v>74</v>
      </c>
      <c r="E202" s="8" t="s">
        <v>75</v>
      </c>
      <c r="F202" s="8" t="s">
        <v>76</v>
      </c>
      <c r="G202" s="8" t="s">
        <v>77</v>
      </c>
      <c r="H202" s="8" t="s">
        <v>78</v>
      </c>
      <c r="I202" s="8" t="s">
        <v>79</v>
      </c>
      <c r="J202" s="8" t="s">
        <v>80</v>
      </c>
      <c r="K202" s="8" t="s">
        <v>81</v>
      </c>
      <c r="L202" s="8" t="s">
        <v>82</v>
      </c>
      <c r="M202" s="8" t="s">
        <v>82</v>
      </c>
      <c r="N202" s="8" t="s">
        <v>83</v>
      </c>
      <c r="O202" s="8" t="s">
        <v>84</v>
      </c>
      <c r="P202" s="8" t="s">
        <v>85</v>
      </c>
      <c r="Q202" s="8" t="s">
        <v>65</v>
      </c>
      <c r="R202" s="8" t="s">
        <v>86</v>
      </c>
      <c r="S202" s="8" t="s">
        <v>87</v>
      </c>
      <c r="T202" s="8" t="s">
        <v>88</v>
      </c>
      <c r="U202" s="8" t="s">
        <v>75</v>
      </c>
      <c r="V202" s="8" t="s">
        <v>57</v>
      </c>
      <c r="W202" s="8" t="s">
        <v>56</v>
      </c>
      <c r="X202" s="8" t="s">
        <v>56</v>
      </c>
      <c r="Y202" s="8" t="s">
        <v>56</v>
      </c>
      <c r="Z202" s="8" t="s">
        <v>89</v>
      </c>
      <c r="AA202" s="8" t="s">
        <v>90</v>
      </c>
      <c r="AB202" s="8" t="s">
        <v>68</v>
      </c>
      <c r="AC202" s="8" t="s">
        <v>56</v>
      </c>
      <c r="AD202" s="8" t="s">
        <v>69</v>
      </c>
      <c r="AE202" s="8" t="s">
        <v>91</v>
      </c>
      <c r="AF202" s="8" t="s">
        <v>56</v>
      </c>
      <c r="AG202" s="8" t="s">
        <v>56</v>
      </c>
      <c r="AH202" s="8" t="s">
        <v>92</v>
      </c>
      <c r="AI202" s="8" t="s">
        <v>56</v>
      </c>
      <c r="AJ202" s="8" t="s">
        <v>56</v>
      </c>
      <c r="AK202" s="8" t="s">
        <v>56</v>
      </c>
      <c r="AL202" s="8" t="s">
        <v>56</v>
      </c>
      <c r="AM202" s="8" t="s">
        <v>56</v>
      </c>
      <c r="AN202" s="8" t="s">
        <v>56</v>
      </c>
      <c r="AO202" s="8" t="s">
        <v>83</v>
      </c>
      <c r="AP202" s="8" t="s">
        <v>93</v>
      </c>
      <c r="AQ202" s="8" t="s">
        <v>94</v>
      </c>
      <c r="AR202" s="8" t="s">
        <v>95</v>
      </c>
      <c r="AS202" s="8" t="s">
        <v>56</v>
      </c>
      <c r="AT202" s="8" t="s">
        <v>96</v>
      </c>
      <c r="AU202" s="8" t="s">
        <v>97</v>
      </c>
      <c r="AV202" s="8" t="s">
        <v>98</v>
      </c>
      <c r="AW202" s="8" t="s">
        <v>99</v>
      </c>
      <c r="AX202" s="8" t="s">
        <v>56</v>
      </c>
      <c r="AY202" s="8" t="s">
        <v>56</v>
      </c>
      <c r="AZ202" s="8" t="s">
        <v>100</v>
      </c>
      <c r="BA202" s="8" t="s">
        <v>101</v>
      </c>
      <c r="BB202" s="8" t="s">
        <v>56</v>
      </c>
      <c r="BC202" s="8" t="s">
        <v>56</v>
      </c>
      <c r="BD202" s="8" t="s">
        <v>56</v>
      </c>
      <c r="BE202" s="8" t="s">
        <v>56</v>
      </c>
    </row>
    <row r="203" spans="1:57" x14ac:dyDescent="0.3">
      <c r="A203" s="7">
        <v>218</v>
      </c>
      <c r="B203" s="8" t="s">
        <v>72</v>
      </c>
      <c r="C203" s="8" t="s">
        <v>73</v>
      </c>
      <c r="D203" s="8" t="s">
        <v>102</v>
      </c>
      <c r="E203" s="8" t="s">
        <v>103</v>
      </c>
      <c r="F203" s="8" t="s">
        <v>104</v>
      </c>
      <c r="G203" s="8" t="s">
        <v>105</v>
      </c>
      <c r="H203" s="8" t="s">
        <v>106</v>
      </c>
      <c r="I203" s="8" t="s">
        <v>107</v>
      </c>
      <c r="J203" s="8" t="s">
        <v>108</v>
      </c>
      <c r="K203" s="8" t="s">
        <v>81</v>
      </c>
      <c r="L203" s="8" t="s">
        <v>82</v>
      </c>
      <c r="M203" s="8" t="s">
        <v>82</v>
      </c>
      <c r="N203" s="8" t="s">
        <v>109</v>
      </c>
      <c r="O203" s="8" t="s">
        <v>110</v>
      </c>
      <c r="P203" s="8" t="s">
        <v>111</v>
      </c>
      <c r="Q203" s="8" t="s">
        <v>65</v>
      </c>
      <c r="R203" s="8" t="s">
        <v>86</v>
      </c>
      <c r="S203" s="8" t="s">
        <v>87</v>
      </c>
      <c r="T203" s="8" t="s">
        <v>112</v>
      </c>
      <c r="U203" s="8" t="s">
        <v>103</v>
      </c>
      <c r="V203" s="8" t="s">
        <v>57</v>
      </c>
      <c r="W203" s="8" t="s">
        <v>56</v>
      </c>
      <c r="X203" s="8" t="s">
        <v>56</v>
      </c>
      <c r="Y203" s="8" t="s">
        <v>56</v>
      </c>
      <c r="Z203" s="8" t="s">
        <v>113</v>
      </c>
      <c r="AA203" s="8" t="s">
        <v>114</v>
      </c>
      <c r="AB203" s="8" t="s">
        <v>68</v>
      </c>
      <c r="AC203" s="8" t="s">
        <v>56</v>
      </c>
      <c r="AD203" s="8" t="s">
        <v>69</v>
      </c>
      <c r="AE203" s="8" t="s">
        <v>115</v>
      </c>
      <c r="AF203" s="8" t="s">
        <v>56</v>
      </c>
      <c r="AG203" s="8" t="s">
        <v>56</v>
      </c>
      <c r="AH203" s="8" t="s">
        <v>116</v>
      </c>
      <c r="AI203" s="8" t="s">
        <v>56</v>
      </c>
      <c r="AJ203" s="8" t="s">
        <v>56</v>
      </c>
      <c r="AK203" s="8" t="s">
        <v>56</v>
      </c>
      <c r="AL203" s="8" t="s">
        <v>56</v>
      </c>
      <c r="AM203" s="8" t="s">
        <v>56</v>
      </c>
      <c r="AN203" s="8" t="s">
        <v>56</v>
      </c>
      <c r="AO203" s="8" t="s">
        <v>56</v>
      </c>
      <c r="AP203" s="8" t="s">
        <v>93</v>
      </c>
      <c r="AQ203" s="8" t="s">
        <v>117</v>
      </c>
      <c r="AR203" s="8" t="s">
        <v>118</v>
      </c>
      <c r="AS203" s="8" t="s">
        <v>56</v>
      </c>
      <c r="AT203" s="8" t="s">
        <v>119</v>
      </c>
      <c r="AU203" s="8" t="s">
        <v>120</v>
      </c>
      <c r="AV203" s="8" t="s">
        <v>121</v>
      </c>
      <c r="AW203" s="8" t="s">
        <v>122</v>
      </c>
      <c r="AX203" s="8" t="s">
        <v>56</v>
      </c>
      <c r="AY203" s="8" t="s">
        <v>56</v>
      </c>
      <c r="AZ203" s="8" t="s">
        <v>100</v>
      </c>
      <c r="BA203" s="8" t="s">
        <v>56</v>
      </c>
      <c r="BB203" s="8" t="s">
        <v>56</v>
      </c>
      <c r="BC203" s="8" t="s">
        <v>56</v>
      </c>
      <c r="BD203" s="8" t="s">
        <v>56</v>
      </c>
      <c r="BE203" s="8" t="s">
        <v>56</v>
      </c>
    </row>
    <row r="204" spans="1:57" x14ac:dyDescent="0.3">
      <c r="A204" s="7">
        <v>219</v>
      </c>
      <c r="B204" s="8" t="s">
        <v>72</v>
      </c>
      <c r="C204" s="8" t="s">
        <v>73</v>
      </c>
      <c r="D204" s="8" t="s">
        <v>123</v>
      </c>
      <c r="E204" s="8" t="s">
        <v>124</v>
      </c>
      <c r="F204" s="8" t="s">
        <v>125</v>
      </c>
      <c r="G204" s="8" t="s">
        <v>126</v>
      </c>
      <c r="H204" s="8" t="s">
        <v>127</v>
      </c>
      <c r="I204" s="8" t="s">
        <v>128</v>
      </c>
      <c r="J204" s="8" t="s">
        <v>108</v>
      </c>
      <c r="K204" s="8" t="s">
        <v>81</v>
      </c>
      <c r="L204" s="8" t="s">
        <v>82</v>
      </c>
      <c r="M204" s="8" t="s">
        <v>82</v>
      </c>
      <c r="N204" s="8" t="s">
        <v>129</v>
      </c>
      <c r="O204" s="8" t="s">
        <v>110</v>
      </c>
      <c r="P204" s="8" t="s">
        <v>130</v>
      </c>
      <c r="Q204" s="8" t="s">
        <v>65</v>
      </c>
      <c r="R204" s="8" t="s">
        <v>86</v>
      </c>
      <c r="S204" s="8" t="s">
        <v>87</v>
      </c>
      <c r="T204" s="8" t="s">
        <v>131</v>
      </c>
      <c r="U204" s="8" t="s">
        <v>124</v>
      </c>
      <c r="V204" s="8" t="s">
        <v>57</v>
      </c>
      <c r="W204" s="8" t="s">
        <v>56</v>
      </c>
      <c r="X204" s="8" t="s">
        <v>56</v>
      </c>
      <c r="Y204" s="8" t="s">
        <v>56</v>
      </c>
      <c r="Z204" s="8" t="s">
        <v>113</v>
      </c>
      <c r="AA204" s="8" t="s">
        <v>114</v>
      </c>
      <c r="AB204" s="8" t="s">
        <v>132</v>
      </c>
      <c r="AC204" s="8" t="s">
        <v>133</v>
      </c>
      <c r="AD204" s="8" t="s">
        <v>69</v>
      </c>
      <c r="AE204" s="8" t="s">
        <v>134</v>
      </c>
      <c r="AF204" s="8" t="s">
        <v>56</v>
      </c>
      <c r="AG204" s="8" t="s">
        <v>56</v>
      </c>
      <c r="AH204" s="8" t="s">
        <v>135</v>
      </c>
      <c r="AI204" s="8" t="s">
        <v>56</v>
      </c>
      <c r="AJ204" s="8" t="s">
        <v>56</v>
      </c>
      <c r="AK204" s="8" t="s">
        <v>56</v>
      </c>
      <c r="AL204" s="8" t="s">
        <v>56</v>
      </c>
      <c r="AM204" s="8" t="s">
        <v>56</v>
      </c>
      <c r="AN204" s="8" t="s">
        <v>56</v>
      </c>
      <c r="AO204" s="8" t="s">
        <v>56</v>
      </c>
      <c r="AP204" s="8" t="s">
        <v>93</v>
      </c>
      <c r="AQ204" s="8" t="s">
        <v>94</v>
      </c>
      <c r="AR204" s="8" t="s">
        <v>136</v>
      </c>
      <c r="AS204" s="8" t="s">
        <v>56</v>
      </c>
      <c r="AT204" s="8" t="s">
        <v>137</v>
      </c>
      <c r="AU204" s="8" t="s">
        <v>138</v>
      </c>
      <c r="AV204" s="8" t="s">
        <v>135</v>
      </c>
      <c r="AW204" s="8" t="s">
        <v>139</v>
      </c>
      <c r="AX204" s="8" t="s">
        <v>56</v>
      </c>
      <c r="AY204" s="8" t="s">
        <v>56</v>
      </c>
      <c r="AZ204" s="8" t="s">
        <v>100</v>
      </c>
      <c r="BA204" s="8" t="s">
        <v>56</v>
      </c>
      <c r="BB204" s="8" t="s">
        <v>56</v>
      </c>
      <c r="BC204" s="8" t="s">
        <v>56</v>
      </c>
      <c r="BD204" s="8" t="s">
        <v>56</v>
      </c>
      <c r="BE204" s="8" t="s">
        <v>56</v>
      </c>
    </row>
    <row r="205" spans="1:57" x14ac:dyDescent="0.3">
      <c r="A205" s="7">
        <v>220</v>
      </c>
      <c r="B205" s="8" t="s">
        <v>72</v>
      </c>
      <c r="C205" s="8" t="s">
        <v>73</v>
      </c>
      <c r="D205" s="8" t="s">
        <v>140</v>
      </c>
      <c r="E205" s="8" t="s">
        <v>124</v>
      </c>
      <c r="F205" s="8" t="s">
        <v>125</v>
      </c>
      <c r="G205" s="8" t="s">
        <v>141</v>
      </c>
      <c r="H205" s="8" t="s">
        <v>127</v>
      </c>
      <c r="I205" s="8" t="s">
        <v>142</v>
      </c>
      <c r="J205" s="8" t="s">
        <v>108</v>
      </c>
      <c r="K205" s="8" t="s">
        <v>81</v>
      </c>
      <c r="L205" s="8" t="s">
        <v>82</v>
      </c>
      <c r="M205" s="8" t="s">
        <v>82</v>
      </c>
      <c r="N205" s="8" t="s">
        <v>56</v>
      </c>
      <c r="O205" s="8" t="s">
        <v>110</v>
      </c>
      <c r="P205" s="8" t="s">
        <v>130</v>
      </c>
      <c r="Q205" s="8" t="s">
        <v>65</v>
      </c>
      <c r="R205" s="8" t="s">
        <v>86</v>
      </c>
      <c r="S205" s="8" t="s">
        <v>87</v>
      </c>
      <c r="T205" s="8" t="s">
        <v>143</v>
      </c>
      <c r="U205" s="8" t="s">
        <v>124</v>
      </c>
      <c r="V205" s="8" t="s">
        <v>57</v>
      </c>
      <c r="W205" s="8" t="s">
        <v>56</v>
      </c>
      <c r="X205" s="8" t="s">
        <v>56</v>
      </c>
      <c r="Y205" s="8" t="s">
        <v>56</v>
      </c>
      <c r="Z205" s="8" t="s">
        <v>113</v>
      </c>
      <c r="AA205" s="8" t="s">
        <v>114</v>
      </c>
      <c r="AB205" s="8" t="s">
        <v>132</v>
      </c>
      <c r="AC205" s="8" t="s">
        <v>133</v>
      </c>
      <c r="AD205" s="8" t="s">
        <v>69</v>
      </c>
      <c r="AE205" s="8" t="s">
        <v>134</v>
      </c>
      <c r="AF205" s="8" t="s">
        <v>56</v>
      </c>
      <c r="AG205" s="8" t="s">
        <v>56</v>
      </c>
      <c r="AH205" s="8" t="s">
        <v>135</v>
      </c>
      <c r="AI205" s="8" t="s">
        <v>56</v>
      </c>
      <c r="AJ205" s="8" t="s">
        <v>56</v>
      </c>
      <c r="AK205" s="8" t="s">
        <v>56</v>
      </c>
      <c r="AL205" s="8" t="s">
        <v>56</v>
      </c>
      <c r="AM205" s="8" t="s">
        <v>56</v>
      </c>
      <c r="AN205" s="8" t="s">
        <v>56</v>
      </c>
      <c r="AO205" s="8" t="s">
        <v>56</v>
      </c>
      <c r="AP205" s="8" t="s">
        <v>93</v>
      </c>
      <c r="AQ205" s="8" t="s">
        <v>94</v>
      </c>
      <c r="AR205" s="8" t="s">
        <v>144</v>
      </c>
      <c r="AS205" s="8" t="s">
        <v>56</v>
      </c>
      <c r="AT205" s="8" t="s">
        <v>137</v>
      </c>
      <c r="AU205" s="8" t="s">
        <v>138</v>
      </c>
      <c r="AV205" s="8" t="s">
        <v>135</v>
      </c>
      <c r="AW205" s="8" t="s">
        <v>139</v>
      </c>
      <c r="AX205" s="8" t="s">
        <v>56</v>
      </c>
      <c r="AY205" s="8" t="s">
        <v>56</v>
      </c>
      <c r="AZ205" s="8" t="s">
        <v>100</v>
      </c>
      <c r="BA205" s="8" t="s">
        <v>56</v>
      </c>
      <c r="BB205" s="8" t="s">
        <v>56</v>
      </c>
      <c r="BC205" s="8" t="s">
        <v>56</v>
      </c>
      <c r="BD205" s="8" t="s">
        <v>56</v>
      </c>
      <c r="BE205" s="8" t="s">
        <v>56</v>
      </c>
    </row>
    <row r="206" spans="1:57" x14ac:dyDescent="0.3">
      <c r="A206" s="7">
        <v>221</v>
      </c>
      <c r="B206" s="8" t="s">
        <v>72</v>
      </c>
      <c r="C206" s="8" t="s">
        <v>73</v>
      </c>
      <c r="D206" s="8" t="s">
        <v>145</v>
      </c>
      <c r="E206" s="8" t="s">
        <v>62</v>
      </c>
      <c r="F206" s="8" t="s">
        <v>146</v>
      </c>
      <c r="G206" s="8" t="s">
        <v>147</v>
      </c>
      <c r="H206" s="8" t="s">
        <v>83</v>
      </c>
      <c r="I206" s="8" t="s">
        <v>148</v>
      </c>
      <c r="J206" s="8" t="s">
        <v>149</v>
      </c>
      <c r="K206" s="8" t="s">
        <v>150</v>
      </c>
      <c r="L206" s="8" t="s">
        <v>151</v>
      </c>
      <c r="M206" s="8" t="s">
        <v>151</v>
      </c>
      <c r="N206" s="8" t="s">
        <v>152</v>
      </c>
      <c r="O206" s="8" t="s">
        <v>153</v>
      </c>
      <c r="P206" s="8" t="s">
        <v>154</v>
      </c>
      <c r="Q206" s="8" t="s">
        <v>65</v>
      </c>
      <c r="R206" s="8" t="s">
        <v>86</v>
      </c>
      <c r="S206" s="8" t="s">
        <v>155</v>
      </c>
      <c r="T206" s="8" t="s">
        <v>156</v>
      </c>
      <c r="U206" s="8" t="s">
        <v>67</v>
      </c>
      <c r="V206" s="8" t="s">
        <v>57</v>
      </c>
      <c r="W206" s="8" t="s">
        <v>56</v>
      </c>
      <c r="X206" s="8" t="s">
        <v>157</v>
      </c>
      <c r="Y206" s="8" t="s">
        <v>158</v>
      </c>
      <c r="Z206" s="8" t="s">
        <v>113</v>
      </c>
      <c r="AA206" s="8" t="s">
        <v>159</v>
      </c>
      <c r="AB206" s="8" t="s">
        <v>65</v>
      </c>
      <c r="AC206" s="8" t="s">
        <v>160</v>
      </c>
      <c r="AD206" s="8" t="s">
        <v>69</v>
      </c>
      <c r="AE206" s="8" t="s">
        <v>91</v>
      </c>
      <c r="AF206" s="8" t="s">
        <v>161</v>
      </c>
      <c r="AG206" s="8" t="s">
        <v>56</v>
      </c>
      <c r="AH206" s="8" t="s">
        <v>56</v>
      </c>
      <c r="AI206" s="8" t="s">
        <v>56</v>
      </c>
      <c r="AJ206" s="8" t="s">
        <v>56</v>
      </c>
      <c r="AK206" s="8" t="s">
        <v>162</v>
      </c>
      <c r="AL206" s="8" t="s">
        <v>56</v>
      </c>
      <c r="AM206" s="8" t="s">
        <v>56</v>
      </c>
      <c r="AN206" s="8" t="s">
        <v>56</v>
      </c>
      <c r="AO206" s="8" t="s">
        <v>56</v>
      </c>
      <c r="AP206" s="8" t="s">
        <v>163</v>
      </c>
      <c r="AQ206" s="8" t="s">
        <v>56</v>
      </c>
      <c r="AR206" s="8" t="s">
        <v>56</v>
      </c>
      <c r="AS206" s="8" t="s">
        <v>164</v>
      </c>
      <c r="AT206" s="8" t="s">
        <v>162</v>
      </c>
      <c r="AU206" s="8" t="s">
        <v>139</v>
      </c>
      <c r="AV206" s="8" t="s">
        <v>165</v>
      </c>
      <c r="AW206" s="8" t="s">
        <v>99</v>
      </c>
      <c r="AX206" s="8" t="s">
        <v>56</v>
      </c>
      <c r="AY206" s="8" t="s">
        <v>56</v>
      </c>
      <c r="AZ206" s="8" t="s">
        <v>100</v>
      </c>
      <c r="BA206" s="8" t="s">
        <v>166</v>
      </c>
      <c r="BB206" s="8" t="s">
        <v>56</v>
      </c>
      <c r="BC206" s="8" t="s">
        <v>56</v>
      </c>
      <c r="BD206" s="8" t="s">
        <v>56</v>
      </c>
      <c r="BE206" s="8" t="s">
        <v>56</v>
      </c>
    </row>
    <row r="207" spans="1:57" x14ac:dyDescent="0.3">
      <c r="A207" s="7">
        <v>222</v>
      </c>
      <c r="B207" s="8" t="s">
        <v>72</v>
      </c>
      <c r="C207" s="8" t="s">
        <v>73</v>
      </c>
      <c r="D207" s="8" t="s">
        <v>167</v>
      </c>
      <c r="E207" s="8" t="s">
        <v>62</v>
      </c>
      <c r="F207" s="8" t="s">
        <v>146</v>
      </c>
      <c r="G207" s="8" t="s">
        <v>168</v>
      </c>
      <c r="H207" s="8" t="s">
        <v>83</v>
      </c>
      <c r="I207" s="8" t="s">
        <v>169</v>
      </c>
      <c r="J207" s="8" t="s">
        <v>149</v>
      </c>
      <c r="K207" s="8" t="s">
        <v>150</v>
      </c>
      <c r="L207" s="8" t="s">
        <v>151</v>
      </c>
      <c r="M207" s="8" t="s">
        <v>151</v>
      </c>
      <c r="N207" s="8" t="s">
        <v>170</v>
      </c>
      <c r="O207" s="8" t="s">
        <v>153</v>
      </c>
      <c r="P207" s="8" t="s">
        <v>154</v>
      </c>
      <c r="Q207" s="8" t="s">
        <v>65</v>
      </c>
      <c r="R207" s="8" t="s">
        <v>86</v>
      </c>
      <c r="S207" s="8" t="s">
        <v>155</v>
      </c>
      <c r="T207" s="8" t="s">
        <v>171</v>
      </c>
      <c r="U207" s="8" t="s">
        <v>67</v>
      </c>
      <c r="V207" s="8" t="s">
        <v>57</v>
      </c>
      <c r="W207" s="8" t="s">
        <v>56</v>
      </c>
      <c r="X207" s="8" t="s">
        <v>157</v>
      </c>
      <c r="Y207" s="8" t="s">
        <v>158</v>
      </c>
      <c r="Z207" s="8" t="s">
        <v>113</v>
      </c>
      <c r="AA207" s="8" t="s">
        <v>159</v>
      </c>
      <c r="AB207" s="8" t="s">
        <v>65</v>
      </c>
      <c r="AC207" s="8" t="s">
        <v>160</v>
      </c>
      <c r="AD207" s="8" t="s">
        <v>69</v>
      </c>
      <c r="AE207" s="8" t="s">
        <v>91</v>
      </c>
      <c r="AF207" s="8" t="s">
        <v>161</v>
      </c>
      <c r="AG207" s="8" t="s">
        <v>56</v>
      </c>
      <c r="AH207" s="8" t="s">
        <v>56</v>
      </c>
      <c r="AI207" s="8" t="s">
        <v>56</v>
      </c>
      <c r="AJ207" s="8" t="s">
        <v>56</v>
      </c>
      <c r="AK207" s="8" t="s">
        <v>162</v>
      </c>
      <c r="AL207" s="8" t="s">
        <v>56</v>
      </c>
      <c r="AM207" s="8" t="s">
        <v>56</v>
      </c>
      <c r="AN207" s="8" t="s">
        <v>56</v>
      </c>
      <c r="AO207" s="8" t="s">
        <v>56</v>
      </c>
      <c r="AP207" s="8" t="s">
        <v>163</v>
      </c>
      <c r="AQ207" s="8" t="s">
        <v>56</v>
      </c>
      <c r="AR207" s="8" t="s">
        <v>56</v>
      </c>
      <c r="AS207" s="8" t="s">
        <v>70</v>
      </c>
      <c r="AT207" s="8" t="s">
        <v>162</v>
      </c>
      <c r="AU207" s="8" t="s">
        <v>139</v>
      </c>
      <c r="AV207" s="8" t="s">
        <v>165</v>
      </c>
      <c r="AW207" s="8" t="s">
        <v>99</v>
      </c>
      <c r="AX207" s="8" t="s">
        <v>56</v>
      </c>
      <c r="AY207" s="8" t="s">
        <v>56</v>
      </c>
      <c r="AZ207" s="8" t="s">
        <v>100</v>
      </c>
      <c r="BA207" s="8" t="s">
        <v>166</v>
      </c>
      <c r="BB207" s="8" t="s">
        <v>56</v>
      </c>
      <c r="BC207" s="8" t="s">
        <v>56</v>
      </c>
      <c r="BD207" s="8" t="s">
        <v>56</v>
      </c>
      <c r="BE207" s="8" t="s">
        <v>56</v>
      </c>
    </row>
    <row r="208" spans="1:57" x14ac:dyDescent="0.3">
      <c r="A208" s="7">
        <v>223</v>
      </c>
      <c r="B208" s="8" t="s">
        <v>72</v>
      </c>
      <c r="C208" s="8" t="s">
        <v>73</v>
      </c>
      <c r="D208" s="8" t="s">
        <v>186</v>
      </c>
      <c r="E208" s="8" t="s">
        <v>62</v>
      </c>
      <c r="F208" s="8" t="s">
        <v>187</v>
      </c>
      <c r="G208" s="8" t="s">
        <v>60</v>
      </c>
      <c r="H208" s="8" t="s">
        <v>188</v>
      </c>
      <c r="I208" s="8" t="s">
        <v>189</v>
      </c>
      <c r="J208" s="8" t="s">
        <v>149</v>
      </c>
      <c r="K208" s="8" t="s">
        <v>190</v>
      </c>
      <c r="L208" s="8" t="s">
        <v>191</v>
      </c>
      <c r="M208" s="8" t="s">
        <v>191</v>
      </c>
      <c r="N208" s="8" t="s">
        <v>192</v>
      </c>
      <c r="O208" s="8" t="s">
        <v>193</v>
      </c>
      <c r="P208" s="8" t="s">
        <v>194</v>
      </c>
      <c r="Q208" s="8" t="s">
        <v>65</v>
      </c>
      <c r="R208" s="8" t="s">
        <v>86</v>
      </c>
      <c r="S208" s="8" t="s">
        <v>195</v>
      </c>
      <c r="T208" s="8" t="s">
        <v>196</v>
      </c>
      <c r="U208" s="8" t="s">
        <v>67</v>
      </c>
      <c r="V208" s="8" t="s">
        <v>57</v>
      </c>
      <c r="W208" s="8" t="s">
        <v>56</v>
      </c>
      <c r="X208" s="8" t="s">
        <v>56</v>
      </c>
      <c r="Y208" s="8" t="s">
        <v>56</v>
      </c>
      <c r="Z208" s="8" t="s">
        <v>113</v>
      </c>
      <c r="AA208" s="8" t="s">
        <v>159</v>
      </c>
      <c r="AB208" s="8" t="s">
        <v>65</v>
      </c>
      <c r="AC208" s="8" t="s">
        <v>197</v>
      </c>
      <c r="AD208" s="8" t="s">
        <v>69</v>
      </c>
      <c r="AE208" s="8" t="s">
        <v>91</v>
      </c>
      <c r="AF208" s="8" t="s">
        <v>198</v>
      </c>
      <c r="AG208" s="8" t="s">
        <v>56</v>
      </c>
      <c r="AH208" s="8" t="s">
        <v>56</v>
      </c>
      <c r="AI208" s="8" t="s">
        <v>56</v>
      </c>
      <c r="AJ208" s="8" t="s">
        <v>56</v>
      </c>
      <c r="AK208" s="8" t="s">
        <v>162</v>
      </c>
      <c r="AL208" s="8" t="s">
        <v>56</v>
      </c>
      <c r="AM208" s="8" t="s">
        <v>56</v>
      </c>
      <c r="AN208" s="8" t="s">
        <v>165</v>
      </c>
      <c r="AO208" s="8" t="s">
        <v>56</v>
      </c>
      <c r="AP208" s="8" t="s">
        <v>163</v>
      </c>
      <c r="AQ208" s="8" t="s">
        <v>56</v>
      </c>
      <c r="AR208" s="8" t="s">
        <v>56</v>
      </c>
      <c r="AS208" s="8" t="s">
        <v>199</v>
      </c>
      <c r="AT208" s="8" t="s">
        <v>162</v>
      </c>
      <c r="AU208" s="8" t="s">
        <v>200</v>
      </c>
      <c r="AV208" s="8" t="s">
        <v>201</v>
      </c>
      <c r="AW208" s="8" t="s">
        <v>99</v>
      </c>
      <c r="AX208" s="8" t="s">
        <v>56</v>
      </c>
      <c r="AY208" s="8" t="s">
        <v>56</v>
      </c>
      <c r="AZ208" s="8" t="s">
        <v>100</v>
      </c>
      <c r="BA208" s="8" t="s">
        <v>166</v>
      </c>
      <c r="BB208" s="8" t="s">
        <v>56</v>
      </c>
      <c r="BC208" s="8" t="s">
        <v>56</v>
      </c>
      <c r="BD208" s="8" t="s">
        <v>56</v>
      </c>
      <c r="BE208" s="8" t="s">
        <v>56</v>
      </c>
    </row>
    <row r="209" spans="1:57" x14ac:dyDescent="0.3">
      <c r="A209" s="7">
        <v>224</v>
      </c>
      <c r="B209" s="8" t="s">
        <v>72</v>
      </c>
      <c r="C209" s="8" t="s">
        <v>73</v>
      </c>
      <c r="D209" s="8" t="s">
        <v>202</v>
      </c>
      <c r="E209" s="8" t="s">
        <v>62</v>
      </c>
      <c r="F209" s="8" t="s">
        <v>146</v>
      </c>
      <c r="G209" s="8" t="s">
        <v>60</v>
      </c>
      <c r="H209" s="8" t="s">
        <v>83</v>
      </c>
      <c r="I209" s="8" t="s">
        <v>203</v>
      </c>
      <c r="J209" s="8" t="s">
        <v>149</v>
      </c>
      <c r="K209" s="8" t="s">
        <v>204</v>
      </c>
      <c r="L209" s="8" t="s">
        <v>151</v>
      </c>
      <c r="M209" s="8" t="s">
        <v>56</v>
      </c>
      <c r="N209" s="8" t="s">
        <v>205</v>
      </c>
      <c r="O209" s="8" t="s">
        <v>206</v>
      </c>
      <c r="P209" s="8" t="s">
        <v>207</v>
      </c>
      <c r="Q209" s="8" t="s">
        <v>65</v>
      </c>
      <c r="R209" s="8" t="s">
        <v>86</v>
      </c>
      <c r="S209" s="8" t="s">
        <v>155</v>
      </c>
      <c r="T209" s="8" t="s">
        <v>208</v>
      </c>
      <c r="U209" s="8" t="s">
        <v>67</v>
      </c>
      <c r="V209" s="8" t="s">
        <v>57</v>
      </c>
      <c r="W209" s="8" t="s">
        <v>56</v>
      </c>
      <c r="X209" s="8" t="s">
        <v>209</v>
      </c>
      <c r="Y209" s="8" t="s">
        <v>56</v>
      </c>
      <c r="Z209" s="8" t="s">
        <v>113</v>
      </c>
      <c r="AA209" s="8" t="s">
        <v>159</v>
      </c>
      <c r="AB209" s="8" t="s">
        <v>65</v>
      </c>
      <c r="AC209" s="8" t="s">
        <v>197</v>
      </c>
      <c r="AD209" s="8" t="s">
        <v>69</v>
      </c>
      <c r="AE209" s="8" t="s">
        <v>91</v>
      </c>
      <c r="AF209" s="8" t="s">
        <v>198</v>
      </c>
      <c r="AG209" s="8" t="s">
        <v>56</v>
      </c>
      <c r="AH209" s="8" t="s">
        <v>56</v>
      </c>
      <c r="AI209" s="8" t="s">
        <v>56</v>
      </c>
      <c r="AJ209" s="8" t="s">
        <v>56</v>
      </c>
      <c r="AK209" s="8" t="s">
        <v>58</v>
      </c>
      <c r="AL209" s="8" t="s">
        <v>56</v>
      </c>
      <c r="AM209" s="8" t="s">
        <v>56</v>
      </c>
      <c r="AN209" s="8" t="s">
        <v>56</v>
      </c>
      <c r="AO209" s="8" t="s">
        <v>56</v>
      </c>
      <c r="AP209" s="8" t="s">
        <v>93</v>
      </c>
      <c r="AQ209" s="8" t="s">
        <v>56</v>
      </c>
      <c r="AR209" s="8" t="s">
        <v>56</v>
      </c>
      <c r="AS209" s="8" t="s">
        <v>210</v>
      </c>
      <c r="AT209" s="8" t="s">
        <v>162</v>
      </c>
      <c r="AU209" s="8" t="s">
        <v>200</v>
      </c>
      <c r="AV209" s="8" t="s">
        <v>201</v>
      </c>
      <c r="AW209" s="8" t="s">
        <v>99</v>
      </c>
      <c r="AX209" s="8" t="s">
        <v>56</v>
      </c>
      <c r="AY209" s="8" t="s">
        <v>56</v>
      </c>
      <c r="AZ209" s="8" t="s">
        <v>100</v>
      </c>
      <c r="BA209" s="8" t="s">
        <v>166</v>
      </c>
      <c r="BB209" s="8" t="s">
        <v>56</v>
      </c>
      <c r="BC209" s="8" t="s">
        <v>56</v>
      </c>
      <c r="BD209" s="8" t="s">
        <v>56</v>
      </c>
      <c r="BE209" s="8" t="s">
        <v>56</v>
      </c>
    </row>
    <row r="210" spans="1:57" x14ac:dyDescent="0.3">
      <c r="A210" s="7">
        <v>225</v>
      </c>
      <c r="B210" t="s">
        <v>710</v>
      </c>
      <c r="C210" t="s">
        <v>711</v>
      </c>
      <c r="D210" t="s">
        <v>712</v>
      </c>
      <c r="E210" t="s">
        <v>557</v>
      </c>
      <c r="F210" t="s">
        <v>713</v>
      </c>
      <c r="G210" t="s">
        <v>714</v>
      </c>
      <c r="H210" s="3">
        <v>45402</v>
      </c>
      <c r="I210" t="s">
        <v>715</v>
      </c>
      <c r="J210" t="s">
        <v>716</v>
      </c>
      <c r="K210" t="s">
        <v>717</v>
      </c>
      <c r="L210">
        <v>15950748778</v>
      </c>
      <c r="N210" t="s">
        <v>718</v>
      </c>
      <c r="O210" s="2">
        <v>45803</v>
      </c>
      <c r="P210" s="2">
        <v>46168</v>
      </c>
      <c r="Q210" t="s">
        <v>65</v>
      </c>
      <c r="R210" t="s">
        <v>86</v>
      </c>
      <c r="S210" t="s">
        <v>155</v>
      </c>
      <c r="T210" t="s">
        <v>719</v>
      </c>
      <c r="U210" t="s">
        <v>557</v>
      </c>
      <c r="V210" t="s">
        <v>57</v>
      </c>
      <c r="Z210" t="s">
        <v>720</v>
      </c>
      <c r="AA210" t="s">
        <v>721</v>
      </c>
      <c r="AB210" t="s">
        <v>65</v>
      </c>
      <c r="AC210">
        <v>965</v>
      </c>
      <c r="AD210" t="s">
        <v>69</v>
      </c>
      <c r="AE210">
        <v>45</v>
      </c>
      <c r="AF210">
        <v>118</v>
      </c>
      <c r="AP210" t="s">
        <v>722</v>
      </c>
      <c r="AT210">
        <v>25</v>
      </c>
      <c r="AU210">
        <v>15.1</v>
      </c>
      <c r="AV210" t="s">
        <v>83</v>
      </c>
      <c r="AZ210">
        <v>222042</v>
      </c>
      <c r="BA210" t="s">
        <v>723</v>
      </c>
    </row>
    <row r="211" spans="1:57" x14ac:dyDescent="0.3">
      <c r="A211" s="7">
        <v>226</v>
      </c>
      <c r="B211" t="s">
        <v>710</v>
      </c>
      <c r="C211" t="s">
        <v>711</v>
      </c>
      <c r="D211" t="s">
        <v>724</v>
      </c>
      <c r="E211" t="s">
        <v>557</v>
      </c>
      <c r="F211" t="s">
        <v>725</v>
      </c>
      <c r="G211" t="s">
        <v>726</v>
      </c>
      <c r="H211" s="2">
        <v>44220</v>
      </c>
      <c r="I211" t="s">
        <v>216</v>
      </c>
      <c r="J211" t="s">
        <v>727</v>
      </c>
      <c r="K211" t="s">
        <v>728</v>
      </c>
      <c r="L211">
        <v>15950748778</v>
      </c>
      <c r="M211">
        <v>15950748778</v>
      </c>
      <c r="O211" s="2">
        <v>45579</v>
      </c>
      <c r="P211" s="2">
        <v>45944</v>
      </c>
      <c r="Q211" t="s">
        <v>65</v>
      </c>
      <c r="R211" t="s">
        <v>86</v>
      </c>
      <c r="S211" t="s">
        <v>155</v>
      </c>
      <c r="T211" t="s">
        <v>729</v>
      </c>
      <c r="U211" t="s">
        <v>730</v>
      </c>
      <c r="V211" t="s">
        <v>57</v>
      </c>
      <c r="Z211" t="s">
        <v>113</v>
      </c>
      <c r="AA211" t="s">
        <v>159</v>
      </c>
      <c r="AB211" t="s">
        <v>65</v>
      </c>
      <c r="AC211">
        <v>815</v>
      </c>
      <c r="AD211" t="s">
        <v>69</v>
      </c>
      <c r="AE211">
        <v>45</v>
      </c>
      <c r="AF211" t="s">
        <v>83</v>
      </c>
      <c r="AP211" t="s">
        <v>722</v>
      </c>
      <c r="AS211" t="s">
        <v>731</v>
      </c>
      <c r="AT211" t="s">
        <v>732</v>
      </c>
      <c r="AU211">
        <v>15.1</v>
      </c>
      <c r="AZ211">
        <v>222042</v>
      </c>
    </row>
    <row r="212" spans="1:57" x14ac:dyDescent="0.3">
      <c r="A212" s="7">
        <v>227</v>
      </c>
      <c r="B212" t="s">
        <v>710</v>
      </c>
      <c r="C212" t="s">
        <v>711</v>
      </c>
      <c r="D212" t="s">
        <v>733</v>
      </c>
      <c r="E212" t="s">
        <v>567</v>
      </c>
      <c r="F212" t="s">
        <v>734</v>
      </c>
      <c r="G212" t="s">
        <v>735</v>
      </c>
      <c r="H212" s="3">
        <v>42449</v>
      </c>
      <c r="I212" t="s">
        <v>736</v>
      </c>
      <c r="J212" t="s">
        <v>239</v>
      </c>
      <c r="K212" t="s">
        <v>737</v>
      </c>
      <c r="L212">
        <v>15950748778</v>
      </c>
      <c r="N212" t="s">
        <v>225</v>
      </c>
      <c r="O212" s="2">
        <v>45733</v>
      </c>
      <c r="P212" s="2">
        <v>46463</v>
      </c>
      <c r="Q212" t="s">
        <v>65</v>
      </c>
      <c r="R212" t="s">
        <v>86</v>
      </c>
      <c r="S212" t="s">
        <v>155</v>
      </c>
      <c r="T212" t="s">
        <v>738</v>
      </c>
      <c r="U212" t="s">
        <v>739</v>
      </c>
      <c r="V212" t="s">
        <v>57</v>
      </c>
      <c r="X212" t="s">
        <v>737</v>
      </c>
      <c r="Y212">
        <v>13705133398</v>
      </c>
      <c r="Z212" t="s">
        <v>89</v>
      </c>
      <c r="AA212" t="s">
        <v>159</v>
      </c>
      <c r="AB212" t="s">
        <v>65</v>
      </c>
      <c r="AC212">
        <v>650</v>
      </c>
      <c r="AD212" t="s">
        <v>69</v>
      </c>
      <c r="AE212">
        <v>41</v>
      </c>
      <c r="AH212">
        <v>16</v>
      </c>
      <c r="AK212">
        <v>75</v>
      </c>
      <c r="AP212" t="s">
        <v>163</v>
      </c>
      <c r="AQ212" t="s">
        <v>117</v>
      </c>
      <c r="AS212" t="s">
        <v>70</v>
      </c>
      <c r="AT212" t="s">
        <v>740</v>
      </c>
      <c r="AU212">
        <v>34</v>
      </c>
      <c r="AV212">
        <v>28</v>
      </c>
      <c r="AW212">
        <v>41</v>
      </c>
      <c r="AZ212">
        <v>222000</v>
      </c>
      <c r="BB212" t="s">
        <v>473</v>
      </c>
      <c r="BD212" t="s">
        <v>474</v>
      </c>
      <c r="BE212" t="s">
        <v>475</v>
      </c>
    </row>
    <row r="213" spans="1:57" x14ac:dyDescent="0.3">
      <c r="A213" s="7">
        <v>228</v>
      </c>
      <c r="B213" t="s">
        <v>710</v>
      </c>
      <c r="C213" t="s">
        <v>711</v>
      </c>
      <c r="D213" t="s">
        <v>741</v>
      </c>
      <c r="E213" t="s">
        <v>567</v>
      </c>
      <c r="F213" t="s">
        <v>742</v>
      </c>
      <c r="G213" t="s">
        <v>743</v>
      </c>
      <c r="H213" t="s">
        <v>83</v>
      </c>
      <c r="I213" t="s">
        <v>744</v>
      </c>
      <c r="J213" t="s">
        <v>239</v>
      </c>
      <c r="K213" t="s">
        <v>737</v>
      </c>
      <c r="L213">
        <v>15950718778</v>
      </c>
      <c r="N213" t="s">
        <v>745</v>
      </c>
      <c r="O213" s="2">
        <v>45208</v>
      </c>
      <c r="P213" s="2">
        <v>45939</v>
      </c>
      <c r="Q213" t="s">
        <v>65</v>
      </c>
      <c r="R213" t="s">
        <v>86</v>
      </c>
      <c r="S213" t="s">
        <v>87</v>
      </c>
      <c r="T213" t="s">
        <v>746</v>
      </c>
      <c r="U213" t="s">
        <v>567</v>
      </c>
      <c r="V213" t="s">
        <v>57</v>
      </c>
      <c r="W213" t="s">
        <v>322</v>
      </c>
      <c r="X213" t="s">
        <v>747</v>
      </c>
      <c r="Z213" t="s">
        <v>113</v>
      </c>
      <c r="AA213" t="s">
        <v>159</v>
      </c>
      <c r="AB213" t="s">
        <v>65</v>
      </c>
      <c r="AC213">
        <v>850</v>
      </c>
      <c r="AD213" t="s">
        <v>69</v>
      </c>
      <c r="AE213">
        <v>61</v>
      </c>
      <c r="AH213">
        <v>30</v>
      </c>
      <c r="AP213" t="s">
        <v>93</v>
      </c>
      <c r="AQ213" t="s">
        <v>117</v>
      </c>
      <c r="AS213" t="s">
        <v>748</v>
      </c>
      <c r="AT213">
        <v>150</v>
      </c>
      <c r="AU213">
        <v>46</v>
      </c>
      <c r="AV213">
        <v>27</v>
      </c>
      <c r="AW213">
        <v>61</v>
      </c>
      <c r="AZ213">
        <v>222000</v>
      </c>
      <c r="BB213" t="s">
        <v>473</v>
      </c>
      <c r="BD213" t="s">
        <v>474</v>
      </c>
      <c r="BE213" t="s">
        <v>475</v>
      </c>
    </row>
    <row r="214" spans="1:57" x14ac:dyDescent="0.3">
      <c r="A214" s="7">
        <v>229</v>
      </c>
      <c r="B214" t="s">
        <v>710</v>
      </c>
      <c r="C214" t="s">
        <v>711</v>
      </c>
      <c r="D214" t="s">
        <v>749</v>
      </c>
      <c r="E214" t="s">
        <v>567</v>
      </c>
      <c r="F214" t="s">
        <v>734</v>
      </c>
      <c r="G214" t="s">
        <v>750</v>
      </c>
      <c r="H214" s="3">
        <v>42449</v>
      </c>
      <c r="I214" t="s">
        <v>736</v>
      </c>
      <c r="J214" t="s">
        <v>239</v>
      </c>
      <c r="K214" t="s">
        <v>737</v>
      </c>
      <c r="L214">
        <v>15950748778</v>
      </c>
      <c r="N214" t="s">
        <v>83</v>
      </c>
      <c r="O214" s="2">
        <v>45733</v>
      </c>
      <c r="P214" s="2">
        <v>46463</v>
      </c>
      <c r="Q214" t="s">
        <v>65</v>
      </c>
      <c r="R214" t="s">
        <v>86</v>
      </c>
      <c r="S214" t="s">
        <v>155</v>
      </c>
      <c r="T214" t="s">
        <v>751</v>
      </c>
      <c r="U214" t="s">
        <v>739</v>
      </c>
      <c r="V214" t="s">
        <v>57</v>
      </c>
      <c r="X214" t="s">
        <v>737</v>
      </c>
      <c r="Y214">
        <v>13705133398</v>
      </c>
      <c r="Z214" t="s">
        <v>89</v>
      </c>
      <c r="AA214" t="s">
        <v>159</v>
      </c>
      <c r="AB214" t="s">
        <v>65</v>
      </c>
      <c r="AC214">
        <v>650</v>
      </c>
      <c r="AD214" t="s">
        <v>69</v>
      </c>
      <c r="AE214">
        <v>41</v>
      </c>
      <c r="AH214">
        <v>16</v>
      </c>
      <c r="AK214">
        <v>75</v>
      </c>
      <c r="AP214" t="s">
        <v>163</v>
      </c>
      <c r="AQ214" t="s">
        <v>117</v>
      </c>
      <c r="AS214" t="s">
        <v>70</v>
      </c>
      <c r="AT214" t="s">
        <v>740</v>
      </c>
      <c r="AU214">
        <v>34</v>
      </c>
      <c r="AV214">
        <v>28</v>
      </c>
      <c r="AW214">
        <v>41</v>
      </c>
      <c r="AZ214">
        <v>222000</v>
      </c>
      <c r="BB214" t="s">
        <v>473</v>
      </c>
      <c r="BD214" t="s">
        <v>474</v>
      </c>
      <c r="BE214" t="s">
        <v>475</v>
      </c>
    </row>
    <row r="215" spans="1:57" x14ac:dyDescent="0.3">
      <c r="A215" s="7">
        <v>230</v>
      </c>
      <c r="B215" t="s">
        <v>710</v>
      </c>
      <c r="C215" t="s">
        <v>711</v>
      </c>
      <c r="D215" t="s">
        <v>752</v>
      </c>
      <c r="E215" t="s">
        <v>214</v>
      </c>
      <c r="F215" t="s">
        <v>341</v>
      </c>
      <c r="G215">
        <v>1110152</v>
      </c>
      <c r="H215" s="2">
        <v>41883</v>
      </c>
      <c r="I215" t="s">
        <v>216</v>
      </c>
      <c r="J215" t="s">
        <v>239</v>
      </c>
      <c r="K215" t="s">
        <v>728</v>
      </c>
      <c r="L215">
        <v>15950748778</v>
      </c>
      <c r="M215">
        <v>15950748778</v>
      </c>
      <c r="O215" s="2">
        <v>45803</v>
      </c>
      <c r="P215" s="2">
        <v>46168</v>
      </c>
      <c r="Q215" t="s">
        <v>65</v>
      </c>
      <c r="R215" t="s">
        <v>86</v>
      </c>
      <c r="S215" t="s">
        <v>155</v>
      </c>
      <c r="T215" t="s">
        <v>753</v>
      </c>
      <c r="U215" t="s">
        <v>214</v>
      </c>
      <c r="V215" t="s">
        <v>57</v>
      </c>
      <c r="W215" t="s">
        <v>754</v>
      </c>
      <c r="X215" t="s">
        <v>747</v>
      </c>
      <c r="Y215">
        <v>13705133398</v>
      </c>
      <c r="Z215" t="s">
        <v>113</v>
      </c>
      <c r="AA215" t="s">
        <v>159</v>
      </c>
      <c r="AB215" t="s">
        <v>65</v>
      </c>
      <c r="AC215">
        <v>515</v>
      </c>
      <c r="AD215" t="s">
        <v>69</v>
      </c>
      <c r="AE215">
        <v>25</v>
      </c>
      <c r="AF215">
        <v>99</v>
      </c>
      <c r="AK215">
        <v>1.75</v>
      </c>
      <c r="AN215">
        <v>17</v>
      </c>
      <c r="AP215" t="s">
        <v>93</v>
      </c>
      <c r="AS215" t="s">
        <v>344</v>
      </c>
      <c r="AT215">
        <v>1.75</v>
      </c>
      <c r="AU215">
        <v>15</v>
      </c>
      <c r="AV215">
        <v>17</v>
      </c>
      <c r="AW215">
        <v>25</v>
      </c>
      <c r="AZ215">
        <v>222042</v>
      </c>
    </row>
    <row r="216" spans="1:57" x14ac:dyDescent="0.3">
      <c r="A216" s="7">
        <v>231</v>
      </c>
      <c r="B216" t="s">
        <v>710</v>
      </c>
      <c r="C216" t="s">
        <v>711</v>
      </c>
      <c r="D216" t="s">
        <v>755</v>
      </c>
      <c r="E216" t="s">
        <v>567</v>
      </c>
      <c r="F216" t="s">
        <v>742</v>
      </c>
      <c r="G216" t="s">
        <v>756</v>
      </c>
      <c r="H216" t="s">
        <v>83</v>
      </c>
      <c r="I216" t="s">
        <v>744</v>
      </c>
      <c r="J216" t="s">
        <v>239</v>
      </c>
      <c r="K216" t="s">
        <v>737</v>
      </c>
      <c r="L216">
        <v>15950748778</v>
      </c>
      <c r="N216" t="s">
        <v>757</v>
      </c>
      <c r="O216" s="2">
        <v>45208</v>
      </c>
      <c r="P216" s="2">
        <v>45939</v>
      </c>
      <c r="Q216" t="s">
        <v>65</v>
      </c>
      <c r="R216" t="s">
        <v>86</v>
      </c>
      <c r="S216" t="s">
        <v>87</v>
      </c>
      <c r="T216" t="s">
        <v>758</v>
      </c>
      <c r="U216" t="s">
        <v>567</v>
      </c>
      <c r="V216" t="s">
        <v>57</v>
      </c>
      <c r="W216" t="s">
        <v>322</v>
      </c>
      <c r="X216" t="s">
        <v>747</v>
      </c>
      <c r="Z216" t="s">
        <v>113</v>
      </c>
      <c r="AA216" t="s">
        <v>159</v>
      </c>
      <c r="AB216" t="s">
        <v>65</v>
      </c>
      <c r="AC216">
        <v>850</v>
      </c>
      <c r="AD216" t="s">
        <v>69</v>
      </c>
      <c r="AE216">
        <v>61</v>
      </c>
      <c r="AH216">
        <v>30</v>
      </c>
      <c r="AP216" t="s">
        <v>93</v>
      </c>
      <c r="AQ216" t="s">
        <v>117</v>
      </c>
      <c r="AS216" t="s">
        <v>748</v>
      </c>
      <c r="AT216">
        <v>150</v>
      </c>
      <c r="AU216">
        <v>46</v>
      </c>
      <c r="AV216">
        <v>27</v>
      </c>
      <c r="AW216">
        <v>61</v>
      </c>
      <c r="AZ216">
        <v>222000</v>
      </c>
      <c r="BB216" t="s">
        <v>473</v>
      </c>
      <c r="BD216" t="s">
        <v>474</v>
      </c>
      <c r="BE216" t="s">
        <v>475</v>
      </c>
    </row>
    <row r="217" spans="1:57" x14ac:dyDescent="0.3">
      <c r="A217" s="7">
        <v>232</v>
      </c>
      <c r="B217" t="s">
        <v>710</v>
      </c>
      <c r="C217" t="s">
        <v>711</v>
      </c>
      <c r="D217" t="s">
        <v>759</v>
      </c>
      <c r="E217" t="s">
        <v>507</v>
      </c>
      <c r="F217" t="s">
        <v>760</v>
      </c>
      <c r="G217" t="s">
        <v>761</v>
      </c>
      <c r="I217" t="s">
        <v>762</v>
      </c>
      <c r="J217" t="s">
        <v>239</v>
      </c>
      <c r="K217" t="s">
        <v>737</v>
      </c>
      <c r="L217">
        <v>15950748778</v>
      </c>
      <c r="N217" t="s">
        <v>83</v>
      </c>
      <c r="O217" s="2">
        <v>45803</v>
      </c>
      <c r="P217" s="2">
        <v>46533</v>
      </c>
      <c r="Q217" t="s">
        <v>65</v>
      </c>
      <c r="R217" t="s">
        <v>86</v>
      </c>
      <c r="S217" t="s">
        <v>155</v>
      </c>
      <c r="T217" t="s">
        <v>763</v>
      </c>
      <c r="U217" t="s">
        <v>507</v>
      </c>
      <c r="V217" t="s">
        <v>57</v>
      </c>
      <c r="W217" t="s">
        <v>322</v>
      </c>
      <c r="X217" t="s">
        <v>747</v>
      </c>
      <c r="Z217" t="s">
        <v>113</v>
      </c>
      <c r="AA217" t="s">
        <v>159</v>
      </c>
      <c r="AB217" t="s">
        <v>65</v>
      </c>
      <c r="AC217">
        <v>650</v>
      </c>
      <c r="AD217" t="s">
        <v>69</v>
      </c>
      <c r="AE217">
        <v>41</v>
      </c>
      <c r="AF217">
        <v>0</v>
      </c>
      <c r="AH217">
        <v>23</v>
      </c>
      <c r="AP217" t="s">
        <v>93</v>
      </c>
      <c r="AQ217" t="s">
        <v>117</v>
      </c>
      <c r="AS217" t="s">
        <v>748</v>
      </c>
      <c r="AT217">
        <v>23</v>
      </c>
      <c r="AU217">
        <v>18.2</v>
      </c>
      <c r="AV217">
        <v>28</v>
      </c>
      <c r="AW217">
        <v>41</v>
      </c>
      <c r="AZ217">
        <v>222000</v>
      </c>
      <c r="BB217" t="s">
        <v>248</v>
      </c>
      <c r="BD217" t="s">
        <v>249</v>
      </c>
      <c r="BE217" t="s">
        <v>250</v>
      </c>
    </row>
    <row r="218" spans="1:57" x14ac:dyDescent="0.3">
      <c r="A218" s="7">
        <v>233</v>
      </c>
      <c r="B218" t="s">
        <v>710</v>
      </c>
      <c r="C218" t="s">
        <v>711</v>
      </c>
      <c r="D218" t="s">
        <v>764</v>
      </c>
      <c r="E218" t="s">
        <v>507</v>
      </c>
      <c r="F218" t="s">
        <v>760</v>
      </c>
      <c r="G218" t="s">
        <v>765</v>
      </c>
      <c r="I218" t="s">
        <v>766</v>
      </c>
      <c r="J218" t="s">
        <v>239</v>
      </c>
      <c r="K218" t="s">
        <v>737</v>
      </c>
      <c r="L218">
        <v>15950748778</v>
      </c>
      <c r="N218" t="s">
        <v>83</v>
      </c>
      <c r="O218" s="2">
        <v>45803</v>
      </c>
      <c r="P218" s="2">
        <v>46533</v>
      </c>
      <c r="Q218" t="s">
        <v>65</v>
      </c>
      <c r="R218" t="s">
        <v>86</v>
      </c>
      <c r="S218" t="s">
        <v>155</v>
      </c>
      <c r="T218" t="s">
        <v>767</v>
      </c>
      <c r="U218" t="s">
        <v>507</v>
      </c>
      <c r="V218" t="s">
        <v>57</v>
      </c>
      <c r="W218" t="s">
        <v>322</v>
      </c>
      <c r="X218" t="s">
        <v>747</v>
      </c>
      <c r="Z218" t="s">
        <v>113</v>
      </c>
      <c r="AA218" t="s">
        <v>159</v>
      </c>
      <c r="AB218" t="s">
        <v>65</v>
      </c>
      <c r="AC218">
        <v>650</v>
      </c>
      <c r="AD218" t="s">
        <v>69</v>
      </c>
      <c r="AE218">
        <v>41</v>
      </c>
      <c r="AF218">
        <v>0</v>
      </c>
      <c r="AH218">
        <v>23</v>
      </c>
      <c r="AP218" t="s">
        <v>93</v>
      </c>
      <c r="AQ218" t="s">
        <v>117</v>
      </c>
      <c r="AS218" t="s">
        <v>748</v>
      </c>
      <c r="AT218">
        <v>23</v>
      </c>
      <c r="AU218">
        <v>18.2</v>
      </c>
      <c r="AV218">
        <v>28</v>
      </c>
      <c r="AW218">
        <v>41</v>
      </c>
      <c r="AZ218">
        <v>222000</v>
      </c>
      <c r="BB218" t="s">
        <v>248</v>
      </c>
      <c r="BD218" t="s">
        <v>249</v>
      </c>
      <c r="BE218" t="s">
        <v>250</v>
      </c>
    </row>
    <row r="219" spans="1:57" x14ac:dyDescent="0.3">
      <c r="A219" s="7">
        <v>234</v>
      </c>
      <c r="B219" t="s">
        <v>710</v>
      </c>
      <c r="C219" t="s">
        <v>711</v>
      </c>
      <c r="D219" t="s">
        <v>768</v>
      </c>
      <c r="E219" t="s">
        <v>507</v>
      </c>
      <c r="F219" t="s">
        <v>760</v>
      </c>
      <c r="G219" t="s">
        <v>769</v>
      </c>
      <c r="H219" t="s">
        <v>83</v>
      </c>
      <c r="I219" t="s">
        <v>770</v>
      </c>
      <c r="J219" t="s">
        <v>239</v>
      </c>
      <c r="K219" t="s">
        <v>728</v>
      </c>
      <c r="L219">
        <v>15950748778</v>
      </c>
      <c r="M219">
        <v>15950748778</v>
      </c>
      <c r="N219" t="s">
        <v>770</v>
      </c>
      <c r="O219" s="2">
        <v>45421</v>
      </c>
      <c r="P219" s="2">
        <v>46150</v>
      </c>
      <c r="Q219" t="s">
        <v>65</v>
      </c>
      <c r="R219" t="s">
        <v>86</v>
      </c>
      <c r="S219" t="s">
        <v>195</v>
      </c>
      <c r="T219" t="s">
        <v>771</v>
      </c>
      <c r="U219" t="s">
        <v>507</v>
      </c>
      <c r="V219" t="s">
        <v>57</v>
      </c>
      <c r="W219" t="s">
        <v>322</v>
      </c>
      <c r="X219" t="s">
        <v>772</v>
      </c>
      <c r="Z219" t="s">
        <v>113</v>
      </c>
      <c r="AA219" t="s">
        <v>290</v>
      </c>
      <c r="AB219" t="s">
        <v>65</v>
      </c>
      <c r="AC219">
        <v>650</v>
      </c>
      <c r="AD219" t="s">
        <v>69</v>
      </c>
      <c r="AE219">
        <v>41</v>
      </c>
      <c r="AF219">
        <v>0</v>
      </c>
      <c r="AH219">
        <v>23.47</v>
      </c>
      <c r="AK219" t="s">
        <v>773</v>
      </c>
      <c r="AN219">
        <v>28</v>
      </c>
      <c r="AP219" t="s">
        <v>163</v>
      </c>
      <c r="AQ219" t="s">
        <v>117</v>
      </c>
      <c r="AS219" t="s">
        <v>748</v>
      </c>
      <c r="AT219" t="s">
        <v>773</v>
      </c>
      <c r="AU219">
        <v>18.2</v>
      </c>
      <c r="AV219">
        <v>28</v>
      </c>
      <c r="AW219">
        <v>41</v>
      </c>
      <c r="AZ219">
        <v>222042</v>
      </c>
      <c r="BB219" t="s">
        <v>473</v>
      </c>
      <c r="BD219" t="s">
        <v>474</v>
      </c>
      <c r="BE219" t="s">
        <v>475</v>
      </c>
    </row>
    <row r="220" spans="1:57" x14ac:dyDescent="0.3">
      <c r="A220" s="7">
        <v>235</v>
      </c>
      <c r="B220" t="s">
        <v>710</v>
      </c>
      <c r="C220" t="s">
        <v>711</v>
      </c>
      <c r="D220" t="s">
        <v>776</v>
      </c>
      <c r="E220" t="s">
        <v>507</v>
      </c>
      <c r="F220" t="s">
        <v>760</v>
      </c>
      <c r="G220" t="s">
        <v>777</v>
      </c>
      <c r="I220" t="s">
        <v>778</v>
      </c>
      <c r="J220" t="s">
        <v>239</v>
      </c>
      <c r="K220" t="s">
        <v>737</v>
      </c>
      <c r="L220">
        <v>15950748778</v>
      </c>
      <c r="N220" t="s">
        <v>83</v>
      </c>
      <c r="O220" s="2">
        <v>45803</v>
      </c>
      <c r="P220" s="2">
        <v>46533</v>
      </c>
      <c r="Q220" t="s">
        <v>65</v>
      </c>
      <c r="R220" t="s">
        <v>86</v>
      </c>
      <c r="S220" t="s">
        <v>155</v>
      </c>
      <c r="T220" t="s">
        <v>779</v>
      </c>
      <c r="U220" t="s">
        <v>507</v>
      </c>
      <c r="V220" t="s">
        <v>57</v>
      </c>
      <c r="W220" t="s">
        <v>322</v>
      </c>
      <c r="X220" t="s">
        <v>747</v>
      </c>
      <c r="Z220" t="s">
        <v>113</v>
      </c>
      <c r="AA220" t="s">
        <v>159</v>
      </c>
      <c r="AB220" t="s">
        <v>65</v>
      </c>
      <c r="AC220">
        <v>650</v>
      </c>
      <c r="AD220" t="s">
        <v>69</v>
      </c>
      <c r="AE220">
        <v>41</v>
      </c>
      <c r="AF220">
        <v>0</v>
      </c>
      <c r="AH220">
        <v>23</v>
      </c>
      <c r="AP220" t="s">
        <v>93</v>
      </c>
      <c r="AQ220" t="s">
        <v>117</v>
      </c>
      <c r="AS220" t="s">
        <v>748</v>
      </c>
      <c r="AT220">
        <v>23</v>
      </c>
      <c r="AU220">
        <v>18.2</v>
      </c>
      <c r="AV220">
        <v>28</v>
      </c>
      <c r="AW220">
        <v>41</v>
      </c>
      <c r="AZ220">
        <v>222000</v>
      </c>
      <c r="BB220" t="s">
        <v>248</v>
      </c>
      <c r="BD220" t="s">
        <v>249</v>
      </c>
      <c r="BE220" t="s">
        <v>250</v>
      </c>
    </row>
    <row r="221" spans="1:57" x14ac:dyDescent="0.3">
      <c r="A221" s="7">
        <v>236</v>
      </c>
      <c r="B221" t="s">
        <v>710</v>
      </c>
      <c r="C221" t="s">
        <v>711</v>
      </c>
      <c r="D221" t="s">
        <v>780</v>
      </c>
      <c r="E221" t="s">
        <v>124</v>
      </c>
      <c r="F221" t="s">
        <v>781</v>
      </c>
      <c r="G221" t="s">
        <v>83</v>
      </c>
      <c r="I221" t="s">
        <v>83</v>
      </c>
      <c r="J221" t="s">
        <v>83</v>
      </c>
      <c r="K221" t="s">
        <v>737</v>
      </c>
      <c r="L221">
        <v>13705133398</v>
      </c>
      <c r="R221" t="s">
        <v>86</v>
      </c>
      <c r="V221" t="s">
        <v>57</v>
      </c>
      <c r="Z221" t="s">
        <v>113</v>
      </c>
      <c r="AE221">
        <v>10</v>
      </c>
      <c r="AH221" t="s">
        <v>83</v>
      </c>
      <c r="AP221" t="s">
        <v>163</v>
      </c>
      <c r="AT221" t="s">
        <v>83</v>
      </c>
      <c r="AU221" t="s">
        <v>83</v>
      </c>
      <c r="AW221">
        <v>10</v>
      </c>
      <c r="AZ221">
        <v>222000</v>
      </c>
    </row>
    <row r="222" spans="1:57" x14ac:dyDescent="0.3">
      <c r="A222" s="7">
        <v>237</v>
      </c>
      <c r="B222" t="s">
        <v>710</v>
      </c>
      <c r="C222" t="s">
        <v>711</v>
      </c>
      <c r="D222" t="s">
        <v>782</v>
      </c>
      <c r="E222" t="s">
        <v>567</v>
      </c>
      <c r="F222" t="s">
        <v>783</v>
      </c>
      <c r="G222" t="s">
        <v>784</v>
      </c>
      <c r="I222" t="s">
        <v>269</v>
      </c>
      <c r="J222" t="s">
        <v>239</v>
      </c>
      <c r="K222" t="s">
        <v>737</v>
      </c>
      <c r="L222">
        <v>15950748778</v>
      </c>
      <c r="N222" t="s">
        <v>785</v>
      </c>
      <c r="O222" s="2">
        <v>45803</v>
      </c>
      <c r="P222" s="2">
        <v>46533</v>
      </c>
      <c r="Q222" t="s">
        <v>65</v>
      </c>
      <c r="R222" t="s">
        <v>86</v>
      </c>
      <c r="S222" t="s">
        <v>155</v>
      </c>
      <c r="T222" t="s">
        <v>786</v>
      </c>
      <c r="U222" t="s">
        <v>567</v>
      </c>
      <c r="V222" t="s">
        <v>57</v>
      </c>
      <c r="W222" t="s">
        <v>322</v>
      </c>
      <c r="X222" t="s">
        <v>747</v>
      </c>
      <c r="Z222" t="s">
        <v>113</v>
      </c>
      <c r="AA222" t="s">
        <v>159</v>
      </c>
      <c r="AB222" t="s">
        <v>65</v>
      </c>
      <c r="AC222">
        <v>650</v>
      </c>
      <c r="AD222" t="s">
        <v>69</v>
      </c>
      <c r="AE222">
        <v>41</v>
      </c>
      <c r="AF222">
        <v>0</v>
      </c>
      <c r="AH222">
        <v>16</v>
      </c>
      <c r="AP222" t="s">
        <v>93</v>
      </c>
      <c r="AQ222" t="s">
        <v>117</v>
      </c>
      <c r="AS222" t="s">
        <v>748</v>
      </c>
      <c r="AT222">
        <v>75</v>
      </c>
      <c r="AU222">
        <v>40</v>
      </c>
      <c r="AV222">
        <v>28</v>
      </c>
      <c r="AW222">
        <v>41</v>
      </c>
      <c r="AZ222">
        <v>222000</v>
      </c>
      <c r="BB222" t="s">
        <v>248</v>
      </c>
      <c r="BD222" t="s">
        <v>249</v>
      </c>
      <c r="BE222" t="s">
        <v>250</v>
      </c>
    </row>
    <row r="223" spans="1:57" x14ac:dyDescent="0.3">
      <c r="A223" s="7">
        <v>238</v>
      </c>
      <c r="B223" t="s">
        <v>710</v>
      </c>
      <c r="C223" t="s">
        <v>711</v>
      </c>
      <c r="D223" t="s">
        <v>787</v>
      </c>
      <c r="E223" t="s">
        <v>507</v>
      </c>
      <c r="F223" t="s">
        <v>760</v>
      </c>
      <c r="G223" t="s">
        <v>788</v>
      </c>
      <c r="I223" t="s">
        <v>789</v>
      </c>
      <c r="J223" t="s">
        <v>239</v>
      </c>
      <c r="K223" t="s">
        <v>737</v>
      </c>
      <c r="L223">
        <v>15950748778</v>
      </c>
      <c r="N223" t="s">
        <v>83</v>
      </c>
      <c r="O223" s="2">
        <v>45803</v>
      </c>
      <c r="P223" s="2">
        <v>46533</v>
      </c>
      <c r="Q223" t="s">
        <v>65</v>
      </c>
      <c r="R223" t="s">
        <v>86</v>
      </c>
      <c r="S223" t="s">
        <v>155</v>
      </c>
      <c r="T223" t="s">
        <v>790</v>
      </c>
      <c r="U223" t="s">
        <v>507</v>
      </c>
      <c r="V223" t="s">
        <v>57</v>
      </c>
      <c r="W223" t="s">
        <v>322</v>
      </c>
      <c r="X223" t="s">
        <v>747</v>
      </c>
      <c r="Z223" t="s">
        <v>113</v>
      </c>
      <c r="AA223" t="s">
        <v>159</v>
      </c>
      <c r="AB223" t="s">
        <v>65</v>
      </c>
      <c r="AC223">
        <v>650</v>
      </c>
      <c r="AD223" t="s">
        <v>69</v>
      </c>
      <c r="AE223">
        <v>41</v>
      </c>
      <c r="AF223">
        <v>0</v>
      </c>
      <c r="AH223">
        <v>23</v>
      </c>
      <c r="AP223" t="s">
        <v>93</v>
      </c>
      <c r="AQ223" t="s">
        <v>117</v>
      </c>
      <c r="AS223" t="s">
        <v>748</v>
      </c>
      <c r="AT223">
        <v>23</v>
      </c>
      <c r="AU223">
        <v>18.2</v>
      </c>
      <c r="AV223">
        <v>28</v>
      </c>
      <c r="AW223">
        <v>41</v>
      </c>
      <c r="AZ223">
        <v>222000</v>
      </c>
      <c r="BB223" t="s">
        <v>248</v>
      </c>
      <c r="BD223" t="s">
        <v>249</v>
      </c>
      <c r="BE223" t="s">
        <v>250</v>
      </c>
    </row>
    <row r="224" spans="1:57" x14ac:dyDescent="0.3">
      <c r="A224" s="7">
        <v>239</v>
      </c>
      <c r="B224" t="s">
        <v>710</v>
      </c>
      <c r="C224" t="s">
        <v>711</v>
      </c>
      <c r="D224" t="s">
        <v>791</v>
      </c>
      <c r="E224" t="s">
        <v>507</v>
      </c>
      <c r="F224" t="s">
        <v>760</v>
      </c>
      <c r="G224" t="s">
        <v>792</v>
      </c>
      <c r="I224" t="s">
        <v>793</v>
      </c>
      <c r="J224" t="s">
        <v>239</v>
      </c>
      <c r="K224" t="s">
        <v>737</v>
      </c>
      <c r="L224">
        <v>15950748778</v>
      </c>
      <c r="N224" t="s">
        <v>83</v>
      </c>
      <c r="O224" s="2">
        <v>45803</v>
      </c>
      <c r="P224" s="2">
        <v>46533</v>
      </c>
      <c r="Q224" t="s">
        <v>65</v>
      </c>
      <c r="R224" t="s">
        <v>86</v>
      </c>
      <c r="S224" t="s">
        <v>155</v>
      </c>
      <c r="T224" t="s">
        <v>794</v>
      </c>
      <c r="U224" t="s">
        <v>507</v>
      </c>
      <c r="V224" t="s">
        <v>57</v>
      </c>
      <c r="W224" t="s">
        <v>322</v>
      </c>
      <c r="X224" t="s">
        <v>747</v>
      </c>
      <c r="Z224" t="s">
        <v>113</v>
      </c>
      <c r="AA224" t="s">
        <v>159</v>
      </c>
      <c r="AB224" t="s">
        <v>65</v>
      </c>
      <c r="AC224">
        <v>650</v>
      </c>
      <c r="AD224" t="s">
        <v>69</v>
      </c>
      <c r="AE224">
        <v>41</v>
      </c>
      <c r="AF224">
        <v>0</v>
      </c>
      <c r="AH224">
        <v>23</v>
      </c>
      <c r="AP224" t="s">
        <v>93</v>
      </c>
      <c r="AQ224" t="s">
        <v>117</v>
      </c>
      <c r="AS224" t="s">
        <v>748</v>
      </c>
      <c r="AT224">
        <v>23</v>
      </c>
      <c r="AU224">
        <v>18.2</v>
      </c>
      <c r="AV224">
        <v>28</v>
      </c>
      <c r="AW224">
        <v>41</v>
      </c>
      <c r="AZ224">
        <v>222000</v>
      </c>
      <c r="BB224" t="s">
        <v>248</v>
      </c>
      <c r="BD224" t="s">
        <v>249</v>
      </c>
      <c r="BE224" t="s">
        <v>250</v>
      </c>
    </row>
    <row r="225" spans="1:57" x14ac:dyDescent="0.3">
      <c r="A225" s="7">
        <v>240</v>
      </c>
      <c r="B225" t="s">
        <v>710</v>
      </c>
      <c r="C225" t="s">
        <v>711</v>
      </c>
      <c r="D225" t="s">
        <v>795</v>
      </c>
      <c r="E225" t="s">
        <v>507</v>
      </c>
      <c r="F225" t="s">
        <v>760</v>
      </c>
      <c r="G225" t="s">
        <v>796</v>
      </c>
      <c r="I225" t="s">
        <v>797</v>
      </c>
      <c r="J225" t="s">
        <v>239</v>
      </c>
      <c r="K225" t="s">
        <v>737</v>
      </c>
      <c r="L225">
        <v>15950748778</v>
      </c>
      <c r="N225" t="s">
        <v>83</v>
      </c>
      <c r="O225" s="2">
        <v>45803</v>
      </c>
      <c r="P225" s="2">
        <v>46533</v>
      </c>
      <c r="Q225" t="s">
        <v>65</v>
      </c>
      <c r="R225" t="s">
        <v>86</v>
      </c>
      <c r="S225" t="s">
        <v>155</v>
      </c>
      <c r="T225" t="s">
        <v>798</v>
      </c>
      <c r="U225" t="s">
        <v>799</v>
      </c>
      <c r="V225" t="s">
        <v>57</v>
      </c>
      <c r="W225" t="s">
        <v>322</v>
      </c>
      <c r="X225" t="s">
        <v>747</v>
      </c>
      <c r="Z225" t="s">
        <v>113</v>
      </c>
      <c r="AA225" t="s">
        <v>159</v>
      </c>
      <c r="AB225" t="s">
        <v>65</v>
      </c>
      <c r="AC225">
        <v>650</v>
      </c>
      <c r="AD225" t="s">
        <v>69</v>
      </c>
      <c r="AE225">
        <v>41</v>
      </c>
      <c r="AF225">
        <v>0</v>
      </c>
      <c r="AH225">
        <v>23</v>
      </c>
      <c r="AP225" t="s">
        <v>93</v>
      </c>
      <c r="AS225" t="s">
        <v>748</v>
      </c>
      <c r="AT225">
        <v>23</v>
      </c>
      <c r="AU225">
        <v>18.2</v>
      </c>
      <c r="AV225">
        <v>28</v>
      </c>
      <c r="AW225">
        <v>41</v>
      </c>
      <c r="AZ225">
        <v>222000</v>
      </c>
      <c r="BB225" t="s">
        <v>248</v>
      </c>
      <c r="BD225" t="s">
        <v>249</v>
      </c>
      <c r="BE225" t="s">
        <v>250</v>
      </c>
    </row>
    <row r="226" spans="1:57" x14ac:dyDescent="0.3">
      <c r="A226" s="7">
        <v>241</v>
      </c>
      <c r="B226" t="s">
        <v>710</v>
      </c>
      <c r="C226" t="s">
        <v>711</v>
      </c>
      <c r="D226" t="s">
        <v>800</v>
      </c>
      <c r="E226" t="s">
        <v>507</v>
      </c>
      <c r="F226" t="s">
        <v>760</v>
      </c>
      <c r="G226" t="s">
        <v>801</v>
      </c>
      <c r="I226" t="s">
        <v>802</v>
      </c>
      <c r="J226" t="s">
        <v>239</v>
      </c>
      <c r="K226" t="s">
        <v>737</v>
      </c>
      <c r="L226">
        <v>15950748778</v>
      </c>
      <c r="N226" t="s">
        <v>83</v>
      </c>
      <c r="O226" s="2">
        <v>45803</v>
      </c>
      <c r="P226" s="2">
        <v>46533</v>
      </c>
      <c r="Q226" t="s">
        <v>65</v>
      </c>
      <c r="R226" t="s">
        <v>86</v>
      </c>
      <c r="S226" t="s">
        <v>155</v>
      </c>
      <c r="T226" t="s">
        <v>803</v>
      </c>
      <c r="U226" t="s">
        <v>507</v>
      </c>
      <c r="V226" t="s">
        <v>57</v>
      </c>
      <c r="W226" t="s">
        <v>322</v>
      </c>
      <c r="X226" t="s">
        <v>747</v>
      </c>
      <c r="Z226" t="s">
        <v>113</v>
      </c>
      <c r="AA226" t="s">
        <v>159</v>
      </c>
      <c r="AB226" t="s">
        <v>65</v>
      </c>
      <c r="AC226">
        <v>650</v>
      </c>
      <c r="AD226" t="s">
        <v>69</v>
      </c>
      <c r="AE226">
        <v>41</v>
      </c>
      <c r="AF226">
        <v>0</v>
      </c>
      <c r="AH226">
        <v>23</v>
      </c>
      <c r="AP226" t="s">
        <v>93</v>
      </c>
      <c r="AQ226" t="s">
        <v>117</v>
      </c>
      <c r="AS226" t="s">
        <v>748</v>
      </c>
      <c r="AT226">
        <v>23</v>
      </c>
      <c r="AU226">
        <v>18.2</v>
      </c>
      <c r="AV226">
        <v>28</v>
      </c>
      <c r="AW226">
        <v>41</v>
      </c>
      <c r="AZ226">
        <v>222000</v>
      </c>
      <c r="BB226" t="s">
        <v>248</v>
      </c>
      <c r="BD226" t="s">
        <v>249</v>
      </c>
      <c r="BE226" t="s">
        <v>250</v>
      </c>
    </row>
    <row r="227" spans="1:57" x14ac:dyDescent="0.3">
      <c r="A227" s="7">
        <v>242</v>
      </c>
      <c r="B227" t="s">
        <v>710</v>
      </c>
      <c r="C227" t="s">
        <v>711</v>
      </c>
      <c r="D227" t="s">
        <v>804</v>
      </c>
      <c r="E227" t="s">
        <v>567</v>
      </c>
      <c r="F227" t="s">
        <v>742</v>
      </c>
      <c r="G227" t="s">
        <v>805</v>
      </c>
      <c r="H227" t="s">
        <v>83</v>
      </c>
      <c r="I227" t="s">
        <v>744</v>
      </c>
      <c r="J227" t="s">
        <v>239</v>
      </c>
      <c r="K227" t="s">
        <v>737</v>
      </c>
      <c r="L227">
        <v>15950748778</v>
      </c>
      <c r="N227" t="s">
        <v>806</v>
      </c>
      <c r="O227" s="2">
        <v>45208</v>
      </c>
      <c r="P227" s="2">
        <v>45939</v>
      </c>
      <c r="Q227" t="s">
        <v>65</v>
      </c>
      <c r="R227" t="s">
        <v>86</v>
      </c>
      <c r="S227" t="s">
        <v>87</v>
      </c>
      <c r="T227" t="s">
        <v>807</v>
      </c>
      <c r="U227" t="s">
        <v>567</v>
      </c>
      <c r="V227" t="s">
        <v>57</v>
      </c>
      <c r="W227" t="s">
        <v>322</v>
      </c>
      <c r="X227" t="s">
        <v>747</v>
      </c>
      <c r="Y227">
        <v>19852470629</v>
      </c>
      <c r="Z227" t="s">
        <v>113</v>
      </c>
      <c r="AA227" t="s">
        <v>159</v>
      </c>
      <c r="AB227" t="s">
        <v>65</v>
      </c>
      <c r="AC227">
        <v>850</v>
      </c>
      <c r="AD227" t="s">
        <v>69</v>
      </c>
      <c r="AE227">
        <v>61</v>
      </c>
      <c r="AH227">
        <v>30</v>
      </c>
      <c r="AP227" t="s">
        <v>93</v>
      </c>
      <c r="AQ227" t="s">
        <v>117</v>
      </c>
      <c r="AS227" t="s">
        <v>748</v>
      </c>
      <c r="AT227">
        <v>150</v>
      </c>
      <c r="AU227">
        <v>46</v>
      </c>
      <c r="AV227">
        <v>27</v>
      </c>
      <c r="AW227">
        <v>61</v>
      </c>
      <c r="AZ227">
        <v>222000</v>
      </c>
      <c r="BB227" t="s">
        <v>473</v>
      </c>
      <c r="BD227" t="s">
        <v>474</v>
      </c>
      <c r="BE227" t="s">
        <v>475</v>
      </c>
    </row>
    <row r="228" spans="1:57" x14ac:dyDescent="0.3">
      <c r="A228" s="7">
        <v>243</v>
      </c>
      <c r="B228" t="s">
        <v>710</v>
      </c>
      <c r="C228" t="s">
        <v>711</v>
      </c>
      <c r="D228" t="s">
        <v>808</v>
      </c>
      <c r="E228" t="s">
        <v>507</v>
      </c>
      <c r="F228" t="s">
        <v>760</v>
      </c>
      <c r="G228" t="s">
        <v>809</v>
      </c>
      <c r="H228" t="s">
        <v>83</v>
      </c>
      <c r="I228" t="s">
        <v>810</v>
      </c>
      <c r="J228" t="s">
        <v>239</v>
      </c>
      <c r="K228" t="s">
        <v>728</v>
      </c>
      <c r="L228">
        <v>15950748778</v>
      </c>
      <c r="M228">
        <v>15950748778</v>
      </c>
      <c r="N228" t="s">
        <v>810</v>
      </c>
      <c r="O228" s="2">
        <v>45421</v>
      </c>
      <c r="P228" s="2">
        <v>46150</v>
      </c>
      <c r="Q228" t="s">
        <v>65</v>
      </c>
      <c r="R228" t="s">
        <v>86</v>
      </c>
      <c r="S228" t="s">
        <v>195</v>
      </c>
      <c r="T228" t="s">
        <v>811</v>
      </c>
      <c r="U228" t="s">
        <v>507</v>
      </c>
      <c r="V228" t="s">
        <v>57</v>
      </c>
      <c r="W228" t="s">
        <v>322</v>
      </c>
      <c r="X228" t="s">
        <v>772</v>
      </c>
      <c r="Z228" t="s">
        <v>113</v>
      </c>
      <c r="AA228" t="s">
        <v>159</v>
      </c>
      <c r="AB228" t="s">
        <v>65</v>
      </c>
      <c r="AC228">
        <v>650</v>
      </c>
      <c r="AD228" t="s">
        <v>69</v>
      </c>
      <c r="AE228">
        <v>41</v>
      </c>
      <c r="AF228">
        <v>0</v>
      </c>
      <c r="AH228">
        <v>23.47</v>
      </c>
      <c r="AK228" t="s">
        <v>773</v>
      </c>
      <c r="AN228">
        <v>28</v>
      </c>
      <c r="AP228" t="s">
        <v>163</v>
      </c>
      <c r="AQ228" t="s">
        <v>117</v>
      </c>
      <c r="AS228" t="s">
        <v>748</v>
      </c>
      <c r="AT228" t="s">
        <v>773</v>
      </c>
      <c r="AU228">
        <v>18.2</v>
      </c>
      <c r="AV228">
        <v>28</v>
      </c>
      <c r="AW228">
        <v>41</v>
      </c>
      <c r="AZ228">
        <v>222042</v>
      </c>
      <c r="BB228" t="s">
        <v>473</v>
      </c>
      <c r="BD228" t="s">
        <v>474</v>
      </c>
      <c r="BE228" t="s">
        <v>475</v>
      </c>
    </row>
    <row r="229" spans="1:57" x14ac:dyDescent="0.3">
      <c r="A229" s="7">
        <v>244</v>
      </c>
      <c r="B229" t="s">
        <v>710</v>
      </c>
      <c r="C229" t="s">
        <v>711</v>
      </c>
      <c r="D229" t="s">
        <v>812</v>
      </c>
      <c r="E229" t="s">
        <v>507</v>
      </c>
      <c r="F229" t="s">
        <v>760</v>
      </c>
      <c r="G229" t="s">
        <v>813</v>
      </c>
      <c r="I229" t="s">
        <v>814</v>
      </c>
      <c r="J229" t="s">
        <v>239</v>
      </c>
      <c r="K229" t="s">
        <v>737</v>
      </c>
      <c r="L229">
        <v>15950748778</v>
      </c>
      <c r="N229" t="s">
        <v>83</v>
      </c>
      <c r="O229" s="2">
        <v>45803</v>
      </c>
      <c r="P229" s="2">
        <v>46533</v>
      </c>
      <c r="Q229" t="s">
        <v>65</v>
      </c>
      <c r="R229" t="s">
        <v>86</v>
      </c>
      <c r="S229" t="s">
        <v>155</v>
      </c>
      <c r="T229" t="s">
        <v>815</v>
      </c>
      <c r="U229" t="s">
        <v>507</v>
      </c>
      <c r="V229" t="s">
        <v>57</v>
      </c>
      <c r="W229" t="s">
        <v>322</v>
      </c>
      <c r="X229" t="s">
        <v>747</v>
      </c>
      <c r="Z229" t="s">
        <v>113</v>
      </c>
      <c r="AA229" t="s">
        <v>159</v>
      </c>
      <c r="AB229" t="s">
        <v>65</v>
      </c>
      <c r="AC229">
        <v>650</v>
      </c>
      <c r="AD229" t="s">
        <v>69</v>
      </c>
      <c r="AE229">
        <v>41</v>
      </c>
      <c r="AF229">
        <v>0</v>
      </c>
      <c r="AH229">
        <v>23</v>
      </c>
      <c r="AP229" t="s">
        <v>93</v>
      </c>
      <c r="AQ229" t="s">
        <v>117</v>
      </c>
      <c r="AS229" t="s">
        <v>748</v>
      </c>
      <c r="AT229">
        <v>23</v>
      </c>
      <c r="AU229">
        <v>18.2</v>
      </c>
      <c r="AV229">
        <v>28</v>
      </c>
      <c r="AW229">
        <v>41</v>
      </c>
      <c r="AZ229">
        <v>222000</v>
      </c>
      <c r="BB229" t="s">
        <v>248</v>
      </c>
      <c r="BD229" t="s">
        <v>249</v>
      </c>
      <c r="BE229" t="s">
        <v>250</v>
      </c>
    </row>
    <row r="230" spans="1:57" x14ac:dyDescent="0.3">
      <c r="A230" s="7">
        <v>245</v>
      </c>
      <c r="B230" t="s">
        <v>710</v>
      </c>
      <c r="C230" t="s">
        <v>711</v>
      </c>
      <c r="D230" t="s">
        <v>816</v>
      </c>
      <c r="E230" t="s">
        <v>507</v>
      </c>
      <c r="F230" t="s">
        <v>760</v>
      </c>
      <c r="G230" t="s">
        <v>817</v>
      </c>
      <c r="I230" t="s">
        <v>818</v>
      </c>
      <c r="J230" t="s">
        <v>239</v>
      </c>
      <c r="K230" t="s">
        <v>737</v>
      </c>
      <c r="L230">
        <v>15950748778</v>
      </c>
      <c r="N230" t="s">
        <v>83</v>
      </c>
      <c r="O230" s="2">
        <v>45803</v>
      </c>
      <c r="P230" s="2">
        <v>46533</v>
      </c>
      <c r="Q230" t="s">
        <v>65</v>
      </c>
      <c r="R230" t="s">
        <v>86</v>
      </c>
      <c r="S230" t="s">
        <v>155</v>
      </c>
      <c r="T230" t="s">
        <v>819</v>
      </c>
      <c r="U230" t="s">
        <v>507</v>
      </c>
      <c r="V230" t="s">
        <v>57</v>
      </c>
      <c r="W230" t="s">
        <v>322</v>
      </c>
      <c r="X230" t="s">
        <v>747</v>
      </c>
      <c r="Z230" t="s">
        <v>113</v>
      </c>
      <c r="AA230" t="s">
        <v>159</v>
      </c>
      <c r="AB230" t="s">
        <v>65</v>
      </c>
      <c r="AC230">
        <v>650</v>
      </c>
      <c r="AD230" t="s">
        <v>69</v>
      </c>
      <c r="AE230">
        <v>41</v>
      </c>
      <c r="AF230">
        <v>0</v>
      </c>
      <c r="AH230">
        <v>23</v>
      </c>
      <c r="AP230" t="s">
        <v>93</v>
      </c>
      <c r="AQ230" t="s">
        <v>117</v>
      </c>
      <c r="AS230" t="s">
        <v>748</v>
      </c>
      <c r="AT230">
        <v>23</v>
      </c>
      <c r="AU230">
        <v>18.2</v>
      </c>
      <c r="AV230">
        <v>28</v>
      </c>
      <c r="AW230">
        <v>41</v>
      </c>
      <c r="AZ230">
        <v>222000</v>
      </c>
      <c r="BB230" t="s">
        <v>248</v>
      </c>
      <c r="BD230" t="s">
        <v>249</v>
      </c>
      <c r="BE230" t="s">
        <v>250</v>
      </c>
    </row>
    <row r="231" spans="1:57" x14ac:dyDescent="0.3">
      <c r="A231" s="7">
        <v>246</v>
      </c>
      <c r="B231" t="s">
        <v>710</v>
      </c>
      <c r="C231" t="s">
        <v>711</v>
      </c>
      <c r="D231" t="s">
        <v>820</v>
      </c>
      <c r="E231" t="s">
        <v>507</v>
      </c>
      <c r="F231" t="s">
        <v>760</v>
      </c>
      <c r="G231" t="s">
        <v>821</v>
      </c>
      <c r="H231" t="s">
        <v>83</v>
      </c>
      <c r="I231" t="s">
        <v>822</v>
      </c>
      <c r="J231" t="s">
        <v>239</v>
      </c>
      <c r="K231" t="s">
        <v>728</v>
      </c>
      <c r="L231">
        <v>15950748778</v>
      </c>
      <c r="M231">
        <v>15950748778</v>
      </c>
      <c r="N231" t="s">
        <v>822</v>
      </c>
      <c r="O231" s="2">
        <v>45421</v>
      </c>
      <c r="P231" s="2">
        <v>46150</v>
      </c>
      <c r="Q231" t="s">
        <v>65</v>
      </c>
      <c r="R231" t="s">
        <v>86</v>
      </c>
      <c r="S231" t="s">
        <v>195</v>
      </c>
      <c r="T231" t="s">
        <v>823</v>
      </c>
      <c r="U231" t="s">
        <v>507</v>
      </c>
      <c r="V231" t="s">
        <v>57</v>
      </c>
      <c r="W231" t="s">
        <v>322</v>
      </c>
      <c r="X231" t="s">
        <v>772</v>
      </c>
      <c r="Z231" t="s">
        <v>113</v>
      </c>
      <c r="AA231" t="s">
        <v>159</v>
      </c>
      <c r="AB231" t="s">
        <v>65</v>
      </c>
      <c r="AC231">
        <v>650</v>
      </c>
      <c r="AD231" t="s">
        <v>69</v>
      </c>
      <c r="AE231">
        <v>41</v>
      </c>
      <c r="AF231">
        <v>0</v>
      </c>
      <c r="AH231">
        <v>23.47</v>
      </c>
      <c r="AK231" t="s">
        <v>773</v>
      </c>
      <c r="AN231">
        <v>28</v>
      </c>
      <c r="AP231" t="s">
        <v>163</v>
      </c>
      <c r="AQ231" t="s">
        <v>117</v>
      </c>
      <c r="AS231" t="s">
        <v>748</v>
      </c>
      <c r="AT231" t="s">
        <v>773</v>
      </c>
      <c r="AU231">
        <v>18.2</v>
      </c>
      <c r="AV231">
        <v>28</v>
      </c>
      <c r="AW231">
        <v>41</v>
      </c>
      <c r="AZ231">
        <v>222042</v>
      </c>
      <c r="BB231" t="s">
        <v>473</v>
      </c>
      <c r="BD231" t="s">
        <v>474</v>
      </c>
      <c r="BE231" t="s">
        <v>475</v>
      </c>
    </row>
    <row r="232" spans="1:57" x14ac:dyDescent="0.3">
      <c r="A232" s="7">
        <v>247</v>
      </c>
      <c r="B232" t="s">
        <v>710</v>
      </c>
      <c r="C232" t="s">
        <v>711</v>
      </c>
      <c r="D232" t="s">
        <v>824</v>
      </c>
      <c r="E232" t="s">
        <v>507</v>
      </c>
      <c r="F232" t="s">
        <v>760</v>
      </c>
      <c r="G232" t="s">
        <v>825</v>
      </c>
      <c r="I232" t="s">
        <v>826</v>
      </c>
      <c r="J232" t="s">
        <v>239</v>
      </c>
      <c r="K232" t="s">
        <v>737</v>
      </c>
      <c r="L232">
        <v>15950748778</v>
      </c>
      <c r="N232" t="s">
        <v>83</v>
      </c>
      <c r="O232" s="2">
        <v>45803</v>
      </c>
      <c r="P232" s="2">
        <v>46533</v>
      </c>
      <c r="Q232" t="s">
        <v>65</v>
      </c>
      <c r="R232" t="s">
        <v>86</v>
      </c>
      <c r="S232" t="s">
        <v>155</v>
      </c>
      <c r="T232" t="s">
        <v>827</v>
      </c>
      <c r="U232" t="s">
        <v>507</v>
      </c>
      <c r="V232" t="s">
        <v>57</v>
      </c>
      <c r="W232" t="s">
        <v>322</v>
      </c>
      <c r="X232" t="s">
        <v>747</v>
      </c>
      <c r="Z232" t="s">
        <v>113</v>
      </c>
      <c r="AA232" t="s">
        <v>159</v>
      </c>
      <c r="AB232" t="s">
        <v>65</v>
      </c>
      <c r="AC232">
        <v>650</v>
      </c>
      <c r="AD232" t="s">
        <v>69</v>
      </c>
      <c r="AE232">
        <v>41</v>
      </c>
      <c r="AF232">
        <v>0</v>
      </c>
      <c r="AH232">
        <v>23</v>
      </c>
      <c r="AP232" t="s">
        <v>93</v>
      </c>
      <c r="AQ232" t="s">
        <v>117</v>
      </c>
      <c r="AS232" t="s">
        <v>748</v>
      </c>
      <c r="AT232">
        <v>23</v>
      </c>
      <c r="AU232">
        <v>18.2</v>
      </c>
      <c r="AV232">
        <v>28</v>
      </c>
      <c r="AW232">
        <v>41</v>
      </c>
      <c r="AZ232">
        <v>222000</v>
      </c>
      <c r="BB232" t="s">
        <v>248</v>
      </c>
      <c r="BD232" t="s">
        <v>249</v>
      </c>
      <c r="BE232" t="s">
        <v>250</v>
      </c>
    </row>
    <row r="233" spans="1:57" x14ac:dyDescent="0.3">
      <c r="A233" s="7">
        <v>248</v>
      </c>
      <c r="B233" t="s">
        <v>710</v>
      </c>
      <c r="C233" t="s">
        <v>711</v>
      </c>
      <c r="D233" t="s">
        <v>828</v>
      </c>
      <c r="E233" t="s">
        <v>567</v>
      </c>
      <c r="F233" t="s">
        <v>742</v>
      </c>
      <c r="G233" t="s">
        <v>829</v>
      </c>
      <c r="H233" t="s">
        <v>83</v>
      </c>
      <c r="I233" t="s">
        <v>744</v>
      </c>
      <c r="J233" t="s">
        <v>239</v>
      </c>
      <c r="K233" t="s">
        <v>737</v>
      </c>
      <c r="L233">
        <v>15950748778</v>
      </c>
      <c r="N233" t="s">
        <v>830</v>
      </c>
      <c r="O233" s="2">
        <v>45208</v>
      </c>
      <c r="P233" s="2">
        <v>45939</v>
      </c>
      <c r="Q233" t="s">
        <v>65</v>
      </c>
      <c r="R233" t="s">
        <v>86</v>
      </c>
      <c r="S233" t="s">
        <v>87</v>
      </c>
      <c r="T233" t="s">
        <v>831</v>
      </c>
      <c r="U233" t="s">
        <v>567</v>
      </c>
      <c r="V233" t="s">
        <v>57</v>
      </c>
      <c r="W233" t="s">
        <v>322</v>
      </c>
      <c r="X233" t="s">
        <v>747</v>
      </c>
      <c r="Y233">
        <v>19852470629</v>
      </c>
      <c r="Z233" t="s">
        <v>113</v>
      </c>
      <c r="AA233" t="s">
        <v>159</v>
      </c>
      <c r="AB233" t="s">
        <v>65</v>
      </c>
      <c r="AC233">
        <v>850</v>
      </c>
      <c r="AD233" t="s">
        <v>69</v>
      </c>
      <c r="AE233">
        <v>61</v>
      </c>
      <c r="AH233">
        <v>30</v>
      </c>
      <c r="AP233" t="s">
        <v>93</v>
      </c>
      <c r="AQ233" t="s">
        <v>117</v>
      </c>
      <c r="AS233" t="s">
        <v>748</v>
      </c>
      <c r="AT233">
        <v>150</v>
      </c>
      <c r="AU233">
        <v>46</v>
      </c>
      <c r="AV233">
        <v>27</v>
      </c>
      <c r="AW233">
        <v>61</v>
      </c>
      <c r="AZ233">
        <v>222000</v>
      </c>
      <c r="BB233" t="s">
        <v>473</v>
      </c>
      <c r="BD233" t="s">
        <v>474</v>
      </c>
      <c r="BE233" t="s">
        <v>475</v>
      </c>
    </row>
    <row r="234" spans="1:57" x14ac:dyDescent="0.3">
      <c r="A234" s="7">
        <v>249</v>
      </c>
      <c r="B234" t="s">
        <v>710</v>
      </c>
      <c r="C234" t="s">
        <v>711</v>
      </c>
      <c r="D234" t="s">
        <v>832</v>
      </c>
      <c r="E234" t="s">
        <v>567</v>
      </c>
      <c r="F234" t="s">
        <v>783</v>
      </c>
      <c r="G234" t="s">
        <v>833</v>
      </c>
      <c r="I234" t="s">
        <v>269</v>
      </c>
      <c r="J234" t="s">
        <v>239</v>
      </c>
      <c r="K234" t="s">
        <v>737</v>
      </c>
      <c r="L234">
        <v>15950748778</v>
      </c>
      <c r="N234" t="s">
        <v>834</v>
      </c>
      <c r="O234" s="2">
        <v>45803</v>
      </c>
      <c r="P234" s="2">
        <v>46533</v>
      </c>
      <c r="Q234" t="s">
        <v>65</v>
      </c>
      <c r="R234" t="s">
        <v>86</v>
      </c>
      <c r="S234" t="s">
        <v>155</v>
      </c>
      <c r="T234" t="s">
        <v>835</v>
      </c>
      <c r="U234" t="s">
        <v>567</v>
      </c>
      <c r="V234" t="s">
        <v>57</v>
      </c>
      <c r="W234" t="s">
        <v>322</v>
      </c>
      <c r="X234" t="s">
        <v>747</v>
      </c>
      <c r="Z234" t="s">
        <v>113</v>
      </c>
      <c r="AA234" t="s">
        <v>159</v>
      </c>
      <c r="AB234" t="s">
        <v>65</v>
      </c>
      <c r="AC234">
        <v>650</v>
      </c>
      <c r="AD234" t="s">
        <v>69</v>
      </c>
      <c r="AE234">
        <v>41</v>
      </c>
      <c r="AF234">
        <v>0</v>
      </c>
      <c r="AH234">
        <v>16</v>
      </c>
      <c r="AP234" t="s">
        <v>93</v>
      </c>
      <c r="AQ234" t="s">
        <v>117</v>
      </c>
      <c r="AS234" t="s">
        <v>748</v>
      </c>
      <c r="AT234">
        <v>75</v>
      </c>
      <c r="AU234">
        <v>40</v>
      </c>
      <c r="AV234">
        <v>28</v>
      </c>
      <c r="AW234">
        <v>41</v>
      </c>
      <c r="AZ234">
        <v>222000</v>
      </c>
      <c r="BB234" t="s">
        <v>248</v>
      </c>
      <c r="BD234" t="s">
        <v>249</v>
      </c>
      <c r="BE234" t="s">
        <v>250</v>
      </c>
    </row>
    <row r="235" spans="1:57" x14ac:dyDescent="0.3">
      <c r="A235" s="7">
        <v>250</v>
      </c>
      <c r="B235" t="s">
        <v>710</v>
      </c>
      <c r="C235" t="s">
        <v>711</v>
      </c>
      <c r="D235" t="s">
        <v>836</v>
      </c>
      <c r="E235" t="s">
        <v>507</v>
      </c>
      <c r="F235" t="s">
        <v>760</v>
      </c>
      <c r="G235" t="s">
        <v>837</v>
      </c>
      <c r="I235" t="s">
        <v>838</v>
      </c>
      <c r="J235" t="s">
        <v>239</v>
      </c>
      <c r="K235" t="s">
        <v>737</v>
      </c>
      <c r="L235">
        <v>15950748778</v>
      </c>
      <c r="N235" t="s">
        <v>83</v>
      </c>
      <c r="O235" s="2">
        <v>45803</v>
      </c>
      <c r="P235" s="2">
        <v>46533</v>
      </c>
      <c r="Q235" t="s">
        <v>65</v>
      </c>
      <c r="R235" t="s">
        <v>86</v>
      </c>
      <c r="S235" t="s">
        <v>155</v>
      </c>
      <c r="T235" t="s">
        <v>839</v>
      </c>
      <c r="U235" t="s">
        <v>507</v>
      </c>
      <c r="V235" t="s">
        <v>57</v>
      </c>
      <c r="W235" t="s">
        <v>322</v>
      </c>
      <c r="X235" t="s">
        <v>747</v>
      </c>
      <c r="Y235">
        <v>13705133398</v>
      </c>
      <c r="Z235" t="s">
        <v>113</v>
      </c>
      <c r="AA235" t="s">
        <v>159</v>
      </c>
      <c r="AB235" t="s">
        <v>65</v>
      </c>
      <c r="AC235">
        <v>650</v>
      </c>
      <c r="AD235" t="s">
        <v>69</v>
      </c>
      <c r="AE235">
        <v>41</v>
      </c>
      <c r="AF235">
        <v>0</v>
      </c>
      <c r="AH235">
        <v>23</v>
      </c>
      <c r="AP235" t="s">
        <v>93</v>
      </c>
      <c r="AQ235" t="s">
        <v>117</v>
      </c>
      <c r="AS235" t="s">
        <v>748</v>
      </c>
      <c r="AT235">
        <v>23</v>
      </c>
      <c r="AU235">
        <v>18.2</v>
      </c>
      <c r="AV235">
        <v>28</v>
      </c>
      <c r="AW235">
        <v>41</v>
      </c>
      <c r="AZ235">
        <v>222000</v>
      </c>
      <c r="BB235" t="s">
        <v>248</v>
      </c>
      <c r="BD235" t="s">
        <v>249</v>
      </c>
      <c r="BE235" t="s">
        <v>250</v>
      </c>
    </row>
    <row r="236" spans="1:57" x14ac:dyDescent="0.3">
      <c r="A236" s="7">
        <v>251</v>
      </c>
      <c r="B236" t="s">
        <v>710</v>
      </c>
      <c r="C236" t="s">
        <v>711</v>
      </c>
      <c r="D236" t="s">
        <v>840</v>
      </c>
      <c r="E236" t="s">
        <v>507</v>
      </c>
      <c r="F236" t="s">
        <v>760</v>
      </c>
      <c r="G236" t="s">
        <v>841</v>
      </c>
      <c r="H236" t="s">
        <v>83</v>
      </c>
      <c r="I236" t="s">
        <v>842</v>
      </c>
      <c r="J236" t="s">
        <v>239</v>
      </c>
      <c r="K236" t="s">
        <v>728</v>
      </c>
      <c r="L236">
        <v>15950748778</v>
      </c>
      <c r="M236">
        <v>15950748778</v>
      </c>
      <c r="N236" t="s">
        <v>842</v>
      </c>
      <c r="O236" s="2">
        <v>45421</v>
      </c>
      <c r="P236" s="2">
        <v>46150</v>
      </c>
      <c r="Q236" t="s">
        <v>65</v>
      </c>
      <c r="R236" t="s">
        <v>86</v>
      </c>
      <c r="S236" t="s">
        <v>195</v>
      </c>
      <c r="T236" t="s">
        <v>843</v>
      </c>
      <c r="U236" t="s">
        <v>507</v>
      </c>
      <c r="V236" t="s">
        <v>57</v>
      </c>
      <c r="W236" t="s">
        <v>322</v>
      </c>
      <c r="X236" t="s">
        <v>772</v>
      </c>
      <c r="Z236" t="s">
        <v>113</v>
      </c>
      <c r="AA236" t="s">
        <v>290</v>
      </c>
      <c r="AB236" t="s">
        <v>65</v>
      </c>
      <c r="AC236">
        <v>650</v>
      </c>
      <c r="AD236" t="s">
        <v>69</v>
      </c>
      <c r="AE236">
        <v>41</v>
      </c>
      <c r="AF236">
        <v>0</v>
      </c>
      <c r="AH236">
        <v>23.47</v>
      </c>
      <c r="AK236" t="s">
        <v>773</v>
      </c>
      <c r="AN236">
        <v>28</v>
      </c>
      <c r="AP236" t="s">
        <v>163</v>
      </c>
      <c r="AQ236" t="s">
        <v>117</v>
      </c>
      <c r="AS236" t="s">
        <v>748</v>
      </c>
      <c r="AT236" t="s">
        <v>773</v>
      </c>
      <c r="AU236">
        <v>18.2</v>
      </c>
      <c r="AV236">
        <v>28</v>
      </c>
      <c r="AW236">
        <v>41</v>
      </c>
      <c r="AZ236">
        <v>222042</v>
      </c>
      <c r="BB236" t="s">
        <v>473</v>
      </c>
      <c r="BD236" t="s">
        <v>474</v>
      </c>
      <c r="BE236" t="s">
        <v>475</v>
      </c>
    </row>
    <row r="237" spans="1:57" x14ac:dyDescent="0.3">
      <c r="A237" s="7">
        <v>252</v>
      </c>
      <c r="B237" t="s">
        <v>710</v>
      </c>
      <c r="C237" t="s">
        <v>711</v>
      </c>
      <c r="D237" t="s">
        <v>844</v>
      </c>
      <c r="E237" t="s">
        <v>507</v>
      </c>
      <c r="F237" t="s">
        <v>760</v>
      </c>
      <c r="G237" t="s">
        <v>845</v>
      </c>
      <c r="I237" t="s">
        <v>846</v>
      </c>
      <c r="J237" t="s">
        <v>239</v>
      </c>
      <c r="K237" t="s">
        <v>737</v>
      </c>
      <c r="L237">
        <v>15950748778</v>
      </c>
      <c r="N237" t="s">
        <v>83</v>
      </c>
      <c r="O237" s="2">
        <v>45803</v>
      </c>
      <c r="P237" s="2">
        <v>46533</v>
      </c>
      <c r="Q237" t="s">
        <v>65</v>
      </c>
      <c r="R237" t="s">
        <v>86</v>
      </c>
      <c r="S237" t="s">
        <v>155</v>
      </c>
      <c r="T237" t="s">
        <v>847</v>
      </c>
      <c r="U237" t="s">
        <v>507</v>
      </c>
      <c r="V237" t="s">
        <v>57</v>
      </c>
      <c r="W237" t="s">
        <v>322</v>
      </c>
      <c r="X237" t="s">
        <v>747</v>
      </c>
      <c r="Z237" t="s">
        <v>113</v>
      </c>
      <c r="AA237" t="s">
        <v>159</v>
      </c>
      <c r="AB237" t="s">
        <v>65</v>
      </c>
      <c r="AC237">
        <v>650</v>
      </c>
      <c r="AD237" t="s">
        <v>69</v>
      </c>
      <c r="AE237">
        <v>41</v>
      </c>
      <c r="AF237">
        <v>0</v>
      </c>
      <c r="AH237">
        <v>23</v>
      </c>
      <c r="AP237" t="s">
        <v>93</v>
      </c>
      <c r="AQ237" t="s">
        <v>117</v>
      </c>
      <c r="AS237" t="s">
        <v>748</v>
      </c>
      <c r="AT237">
        <v>23</v>
      </c>
      <c r="AU237">
        <v>18.2</v>
      </c>
      <c r="AV237">
        <v>28</v>
      </c>
      <c r="AW237">
        <v>41</v>
      </c>
      <c r="AZ237">
        <v>222000</v>
      </c>
      <c r="BB237" t="s">
        <v>248</v>
      </c>
      <c r="BD237" t="s">
        <v>249</v>
      </c>
      <c r="BE237" t="s">
        <v>250</v>
      </c>
    </row>
    <row r="238" spans="1:57" x14ac:dyDescent="0.3">
      <c r="A238" s="7">
        <v>253</v>
      </c>
      <c r="B238" t="s">
        <v>710</v>
      </c>
      <c r="C238" t="s">
        <v>711</v>
      </c>
      <c r="D238" t="s">
        <v>848</v>
      </c>
      <c r="E238" t="s">
        <v>507</v>
      </c>
      <c r="F238" t="s">
        <v>760</v>
      </c>
      <c r="G238" t="s">
        <v>849</v>
      </c>
      <c r="I238" t="s">
        <v>850</v>
      </c>
      <c r="J238" t="s">
        <v>239</v>
      </c>
      <c r="K238" t="s">
        <v>737</v>
      </c>
      <c r="L238">
        <v>15950748778</v>
      </c>
      <c r="N238" t="s">
        <v>83</v>
      </c>
      <c r="O238" s="2">
        <v>45803</v>
      </c>
      <c r="P238" s="2">
        <v>46533</v>
      </c>
      <c r="Q238" t="s">
        <v>65</v>
      </c>
      <c r="R238" t="s">
        <v>86</v>
      </c>
      <c r="S238" t="s">
        <v>155</v>
      </c>
      <c r="T238" t="s">
        <v>851</v>
      </c>
      <c r="U238" t="s">
        <v>507</v>
      </c>
      <c r="V238" t="s">
        <v>57</v>
      </c>
      <c r="W238" t="s">
        <v>322</v>
      </c>
      <c r="X238" t="s">
        <v>747</v>
      </c>
      <c r="Z238" t="s">
        <v>113</v>
      </c>
      <c r="AA238" t="s">
        <v>159</v>
      </c>
      <c r="AB238" t="s">
        <v>65</v>
      </c>
      <c r="AC238">
        <v>650</v>
      </c>
      <c r="AD238" t="s">
        <v>69</v>
      </c>
      <c r="AE238">
        <v>41</v>
      </c>
      <c r="AF238">
        <v>0</v>
      </c>
      <c r="AH238">
        <v>23</v>
      </c>
      <c r="AP238" t="s">
        <v>93</v>
      </c>
      <c r="AQ238" t="s">
        <v>117</v>
      </c>
      <c r="AS238" t="s">
        <v>748</v>
      </c>
      <c r="AT238">
        <v>23</v>
      </c>
      <c r="AU238">
        <v>18.2</v>
      </c>
      <c r="AV238">
        <v>28</v>
      </c>
      <c r="AW238">
        <v>41</v>
      </c>
      <c r="AZ238">
        <v>222000</v>
      </c>
      <c r="BB238" t="s">
        <v>248</v>
      </c>
      <c r="BD238" t="s">
        <v>249</v>
      </c>
      <c r="BE238" t="s">
        <v>250</v>
      </c>
    </row>
    <row r="239" spans="1:57" x14ac:dyDescent="0.3">
      <c r="A239" s="7">
        <v>254</v>
      </c>
      <c r="B239" t="s">
        <v>710</v>
      </c>
      <c r="C239" t="s">
        <v>711</v>
      </c>
      <c r="D239" t="s">
        <v>852</v>
      </c>
      <c r="E239" t="s">
        <v>567</v>
      </c>
      <c r="F239" t="s">
        <v>742</v>
      </c>
      <c r="G239" t="s">
        <v>60</v>
      </c>
      <c r="H239" t="s">
        <v>83</v>
      </c>
      <c r="I239" t="s">
        <v>269</v>
      </c>
      <c r="J239" t="s">
        <v>239</v>
      </c>
      <c r="K239" t="s">
        <v>728</v>
      </c>
      <c r="L239">
        <v>15950748778</v>
      </c>
      <c r="M239">
        <v>15950748778</v>
      </c>
      <c r="N239">
        <v>6</v>
      </c>
      <c r="O239" s="2">
        <v>45435</v>
      </c>
      <c r="P239" s="2">
        <v>46165</v>
      </c>
      <c r="Q239" t="s">
        <v>65</v>
      </c>
      <c r="R239" t="s">
        <v>86</v>
      </c>
      <c r="S239" t="s">
        <v>195</v>
      </c>
      <c r="T239" t="s">
        <v>853</v>
      </c>
      <c r="U239" t="s">
        <v>854</v>
      </c>
      <c r="V239" t="s">
        <v>57</v>
      </c>
      <c r="W239" t="s">
        <v>754</v>
      </c>
      <c r="X239" t="s">
        <v>772</v>
      </c>
      <c r="Y239">
        <v>13705133398</v>
      </c>
      <c r="Z239" t="s">
        <v>113</v>
      </c>
      <c r="AA239" t="s">
        <v>159</v>
      </c>
      <c r="AB239" t="s">
        <v>65</v>
      </c>
      <c r="AC239">
        <v>850</v>
      </c>
      <c r="AD239" t="s">
        <v>69</v>
      </c>
      <c r="AE239">
        <v>61</v>
      </c>
      <c r="AH239">
        <v>30</v>
      </c>
      <c r="AK239" t="s">
        <v>855</v>
      </c>
      <c r="AN239">
        <v>28</v>
      </c>
      <c r="AP239" t="s">
        <v>163</v>
      </c>
      <c r="AQ239" t="s">
        <v>117</v>
      </c>
      <c r="AS239" t="s">
        <v>597</v>
      </c>
      <c r="AT239" t="s">
        <v>856</v>
      </c>
      <c r="AU239">
        <f>-18-36</f>
        <v>-54</v>
      </c>
      <c r="AV239">
        <v>30</v>
      </c>
      <c r="AW239">
        <v>61</v>
      </c>
      <c r="AZ239">
        <v>222042</v>
      </c>
      <c r="BB239" t="s">
        <v>473</v>
      </c>
      <c r="BD239" t="s">
        <v>474</v>
      </c>
      <c r="BE239" t="s">
        <v>475</v>
      </c>
    </row>
    <row r="240" spans="1:57" x14ac:dyDescent="0.3">
      <c r="A240" s="7">
        <v>255</v>
      </c>
      <c r="B240" t="s">
        <v>710</v>
      </c>
      <c r="C240" t="s">
        <v>711</v>
      </c>
      <c r="D240" t="s">
        <v>857</v>
      </c>
      <c r="E240" t="s">
        <v>567</v>
      </c>
      <c r="F240" t="s">
        <v>742</v>
      </c>
      <c r="G240" t="s">
        <v>60</v>
      </c>
      <c r="H240" t="s">
        <v>83</v>
      </c>
      <c r="I240" t="s">
        <v>269</v>
      </c>
      <c r="J240" t="s">
        <v>239</v>
      </c>
      <c r="K240" t="s">
        <v>728</v>
      </c>
      <c r="L240">
        <v>15950748778</v>
      </c>
      <c r="M240">
        <v>15950748778</v>
      </c>
      <c r="N240">
        <v>5</v>
      </c>
      <c r="O240" s="2">
        <v>45435</v>
      </c>
      <c r="P240" s="2">
        <v>46165</v>
      </c>
      <c r="Q240" t="s">
        <v>65</v>
      </c>
      <c r="R240" t="s">
        <v>86</v>
      </c>
      <c r="S240" t="s">
        <v>195</v>
      </c>
      <c r="T240" t="s">
        <v>858</v>
      </c>
      <c r="U240" t="s">
        <v>854</v>
      </c>
      <c r="V240" t="s">
        <v>57</v>
      </c>
      <c r="W240" t="s">
        <v>754</v>
      </c>
      <c r="X240" t="s">
        <v>772</v>
      </c>
      <c r="Y240">
        <v>13705133398</v>
      </c>
      <c r="Z240" t="s">
        <v>113</v>
      </c>
      <c r="AA240" t="s">
        <v>290</v>
      </c>
      <c r="AB240" t="s">
        <v>65</v>
      </c>
      <c r="AC240">
        <v>850</v>
      </c>
      <c r="AD240" t="s">
        <v>69</v>
      </c>
      <c r="AE240">
        <v>61</v>
      </c>
      <c r="AH240">
        <v>30</v>
      </c>
      <c r="AK240" t="s">
        <v>855</v>
      </c>
      <c r="AN240">
        <v>28</v>
      </c>
      <c r="AP240" t="s">
        <v>163</v>
      </c>
      <c r="AQ240" t="s">
        <v>117</v>
      </c>
      <c r="AS240" t="s">
        <v>597</v>
      </c>
      <c r="AT240" t="s">
        <v>856</v>
      </c>
      <c r="AU240">
        <f>-18-36</f>
        <v>-54</v>
      </c>
      <c r="AV240">
        <v>30</v>
      </c>
      <c r="AW240">
        <v>61</v>
      </c>
      <c r="AZ240">
        <v>222042</v>
      </c>
      <c r="BB240" t="s">
        <v>248</v>
      </c>
      <c r="BD240" t="s">
        <v>474</v>
      </c>
      <c r="BE240" t="s">
        <v>475</v>
      </c>
    </row>
    <row r="241" spans="1:57" x14ac:dyDescent="0.3">
      <c r="A241" s="7">
        <v>256</v>
      </c>
      <c r="B241" t="s">
        <v>710</v>
      </c>
      <c r="C241" t="s">
        <v>711</v>
      </c>
      <c r="D241" t="s">
        <v>859</v>
      </c>
      <c r="E241" t="s">
        <v>567</v>
      </c>
      <c r="F241" t="s">
        <v>742</v>
      </c>
      <c r="G241" t="s">
        <v>60</v>
      </c>
      <c r="H241" t="s">
        <v>83</v>
      </c>
      <c r="I241" t="s">
        <v>269</v>
      </c>
      <c r="J241" t="s">
        <v>239</v>
      </c>
      <c r="K241" t="s">
        <v>728</v>
      </c>
      <c r="L241">
        <v>15950748778</v>
      </c>
      <c r="M241">
        <v>15950748778</v>
      </c>
      <c r="N241">
        <v>4</v>
      </c>
      <c r="O241" s="2">
        <v>45435</v>
      </c>
      <c r="P241" s="2">
        <v>46165</v>
      </c>
      <c r="Q241" t="s">
        <v>65</v>
      </c>
      <c r="R241" t="s">
        <v>86</v>
      </c>
      <c r="S241" t="s">
        <v>195</v>
      </c>
      <c r="T241" t="s">
        <v>860</v>
      </c>
      <c r="U241" t="s">
        <v>567</v>
      </c>
      <c r="V241" t="s">
        <v>57</v>
      </c>
      <c r="W241" t="s">
        <v>754</v>
      </c>
      <c r="X241" t="s">
        <v>772</v>
      </c>
      <c r="Y241">
        <v>13705133398</v>
      </c>
      <c r="Z241" t="s">
        <v>113</v>
      </c>
      <c r="AA241" t="s">
        <v>290</v>
      </c>
      <c r="AB241" t="s">
        <v>65</v>
      </c>
      <c r="AC241">
        <v>850</v>
      </c>
      <c r="AD241" t="s">
        <v>69</v>
      </c>
      <c r="AE241">
        <v>61</v>
      </c>
      <c r="AH241">
        <v>30</v>
      </c>
      <c r="AK241" t="s">
        <v>855</v>
      </c>
      <c r="AN241">
        <v>28</v>
      </c>
      <c r="AP241" t="s">
        <v>163</v>
      </c>
      <c r="AQ241" t="s">
        <v>117</v>
      </c>
      <c r="AS241" t="s">
        <v>597</v>
      </c>
      <c r="AT241" t="s">
        <v>856</v>
      </c>
      <c r="AU241">
        <f>-18-36</f>
        <v>-54</v>
      </c>
      <c r="AV241">
        <v>30</v>
      </c>
      <c r="AW241">
        <v>61</v>
      </c>
      <c r="AZ241">
        <v>222042</v>
      </c>
      <c r="BB241" t="s">
        <v>473</v>
      </c>
      <c r="BD241" t="s">
        <v>474</v>
      </c>
      <c r="BE241" t="s">
        <v>475</v>
      </c>
    </row>
    <row r="242" spans="1:57" x14ac:dyDescent="0.3">
      <c r="A242" s="7">
        <v>257</v>
      </c>
      <c r="B242" t="s">
        <v>710</v>
      </c>
      <c r="C242" t="s">
        <v>711</v>
      </c>
      <c r="D242" t="s">
        <v>863</v>
      </c>
      <c r="E242" t="s">
        <v>124</v>
      </c>
      <c r="F242" t="s">
        <v>864</v>
      </c>
      <c r="G242" t="s">
        <v>60</v>
      </c>
      <c r="H242" t="s">
        <v>83</v>
      </c>
      <c r="I242" t="s">
        <v>496</v>
      </c>
      <c r="J242" t="s">
        <v>239</v>
      </c>
      <c r="K242" t="s">
        <v>737</v>
      </c>
      <c r="L242">
        <v>15950748778</v>
      </c>
      <c r="N242" t="s">
        <v>450</v>
      </c>
      <c r="O242" s="2">
        <v>45435</v>
      </c>
      <c r="P242" s="2">
        <v>46165</v>
      </c>
      <c r="Q242" t="s">
        <v>65</v>
      </c>
      <c r="R242" t="s">
        <v>86</v>
      </c>
      <c r="S242" t="s">
        <v>195</v>
      </c>
      <c r="T242" t="s">
        <v>865</v>
      </c>
      <c r="U242" t="s">
        <v>124</v>
      </c>
      <c r="V242" t="s">
        <v>57</v>
      </c>
      <c r="W242" t="s">
        <v>322</v>
      </c>
      <c r="X242" t="s">
        <v>772</v>
      </c>
      <c r="Y242">
        <v>13705133398</v>
      </c>
      <c r="Z242" t="s">
        <v>113</v>
      </c>
      <c r="AA242" t="s">
        <v>159</v>
      </c>
      <c r="AB242" t="s">
        <v>65</v>
      </c>
      <c r="AC242">
        <v>550</v>
      </c>
      <c r="AD242" t="s">
        <v>69</v>
      </c>
      <c r="AE242">
        <v>5</v>
      </c>
      <c r="AF242">
        <v>0</v>
      </c>
      <c r="AH242">
        <v>16.5</v>
      </c>
      <c r="AK242">
        <v>8</v>
      </c>
      <c r="AN242">
        <v>15</v>
      </c>
      <c r="AP242" t="s">
        <v>163</v>
      </c>
      <c r="AQ242" t="s">
        <v>94</v>
      </c>
      <c r="AS242" t="s">
        <v>775</v>
      </c>
      <c r="AT242">
        <v>8</v>
      </c>
      <c r="AU242">
        <v>9</v>
      </c>
      <c r="AV242">
        <v>15</v>
      </c>
      <c r="AW242">
        <v>5</v>
      </c>
      <c r="AZ242">
        <v>222042</v>
      </c>
      <c r="BB242" t="s">
        <v>248</v>
      </c>
      <c r="BD242" t="s">
        <v>866</v>
      </c>
      <c r="BE242" t="s">
        <v>250</v>
      </c>
    </row>
    <row r="243" spans="1:57" x14ac:dyDescent="0.3">
      <c r="A243" s="7">
        <v>258</v>
      </c>
      <c r="B243" t="s">
        <v>710</v>
      </c>
      <c r="C243" t="s">
        <v>711</v>
      </c>
      <c r="D243" t="s">
        <v>867</v>
      </c>
      <c r="E243" t="s">
        <v>507</v>
      </c>
      <c r="F243" t="s">
        <v>868</v>
      </c>
      <c r="G243" t="s">
        <v>869</v>
      </c>
      <c r="H243" t="s">
        <v>83</v>
      </c>
      <c r="I243" t="s">
        <v>870</v>
      </c>
      <c r="J243" t="s">
        <v>239</v>
      </c>
      <c r="K243" t="s">
        <v>728</v>
      </c>
      <c r="L243">
        <v>15950748778</v>
      </c>
      <c r="M243">
        <v>15950748778</v>
      </c>
      <c r="N243" t="s">
        <v>785</v>
      </c>
      <c r="O243" s="2">
        <v>45421</v>
      </c>
      <c r="P243" s="2">
        <v>46150</v>
      </c>
      <c r="Q243" t="s">
        <v>65</v>
      </c>
      <c r="R243" t="s">
        <v>86</v>
      </c>
      <c r="S243" t="s">
        <v>195</v>
      </c>
      <c r="T243" t="s">
        <v>871</v>
      </c>
      <c r="U243" t="s">
        <v>507</v>
      </c>
      <c r="V243" t="s">
        <v>57</v>
      </c>
      <c r="W243" t="s">
        <v>322</v>
      </c>
      <c r="X243" t="s">
        <v>772</v>
      </c>
      <c r="Y243">
        <v>13705133398</v>
      </c>
      <c r="Z243" t="s">
        <v>113</v>
      </c>
      <c r="AA243" t="s">
        <v>159</v>
      </c>
      <c r="AB243" t="s">
        <v>65</v>
      </c>
      <c r="AC243">
        <v>650</v>
      </c>
      <c r="AD243" t="s">
        <v>69</v>
      </c>
      <c r="AE243">
        <v>41</v>
      </c>
      <c r="AF243">
        <v>0</v>
      </c>
      <c r="AH243">
        <v>23.47</v>
      </c>
      <c r="AK243" t="s">
        <v>872</v>
      </c>
      <c r="AN243">
        <v>28</v>
      </c>
      <c r="AP243" t="s">
        <v>163</v>
      </c>
      <c r="AQ243" t="s">
        <v>117</v>
      </c>
      <c r="AS243" t="s">
        <v>873</v>
      </c>
      <c r="AT243" t="s">
        <v>872</v>
      </c>
      <c r="AU243">
        <v>18.420000000000002</v>
      </c>
      <c r="AV243">
        <v>28</v>
      </c>
      <c r="AW243">
        <v>41</v>
      </c>
      <c r="AZ243">
        <v>222042</v>
      </c>
      <c r="BB243" t="s">
        <v>473</v>
      </c>
      <c r="BD243" t="s">
        <v>474</v>
      </c>
      <c r="BE243" t="s">
        <v>475</v>
      </c>
    </row>
    <row r="244" spans="1:57" x14ac:dyDescent="0.3">
      <c r="A244" s="7">
        <v>259</v>
      </c>
      <c r="B244" t="s">
        <v>710</v>
      </c>
      <c r="C244" t="s">
        <v>711</v>
      </c>
      <c r="D244" t="s">
        <v>874</v>
      </c>
      <c r="E244" t="s">
        <v>507</v>
      </c>
      <c r="F244" t="s">
        <v>760</v>
      </c>
      <c r="G244" t="s">
        <v>875</v>
      </c>
      <c r="I244" t="s">
        <v>876</v>
      </c>
      <c r="J244" t="s">
        <v>239</v>
      </c>
      <c r="K244" t="s">
        <v>737</v>
      </c>
      <c r="L244">
        <v>15950748778</v>
      </c>
      <c r="N244" t="s">
        <v>83</v>
      </c>
      <c r="O244" s="2">
        <v>45803</v>
      </c>
      <c r="P244" s="2">
        <v>46533</v>
      </c>
      <c r="Q244" t="s">
        <v>65</v>
      </c>
      <c r="R244" t="s">
        <v>86</v>
      </c>
      <c r="S244" t="s">
        <v>155</v>
      </c>
      <c r="T244" t="s">
        <v>877</v>
      </c>
      <c r="U244" t="s">
        <v>507</v>
      </c>
      <c r="V244" t="s">
        <v>57</v>
      </c>
      <c r="W244" t="s">
        <v>322</v>
      </c>
      <c r="X244" t="s">
        <v>747</v>
      </c>
      <c r="Z244" t="s">
        <v>113</v>
      </c>
      <c r="AA244" t="s">
        <v>159</v>
      </c>
      <c r="AB244" t="s">
        <v>65</v>
      </c>
      <c r="AC244">
        <v>650</v>
      </c>
      <c r="AD244" t="s">
        <v>69</v>
      </c>
      <c r="AE244">
        <v>41</v>
      </c>
      <c r="AF244">
        <v>0</v>
      </c>
      <c r="AH244">
        <v>23</v>
      </c>
      <c r="AP244" t="s">
        <v>93</v>
      </c>
      <c r="AQ244" t="s">
        <v>117</v>
      </c>
      <c r="AS244" t="s">
        <v>748</v>
      </c>
      <c r="AT244">
        <v>23</v>
      </c>
      <c r="AU244">
        <v>18.2</v>
      </c>
      <c r="AV244">
        <v>28</v>
      </c>
      <c r="AW244">
        <v>41</v>
      </c>
      <c r="AZ244">
        <v>222000</v>
      </c>
      <c r="BB244" t="s">
        <v>248</v>
      </c>
      <c r="BD244" t="s">
        <v>249</v>
      </c>
      <c r="BE244" t="s">
        <v>250</v>
      </c>
    </row>
    <row r="245" spans="1:57" x14ac:dyDescent="0.3">
      <c r="A245" s="7">
        <v>260</v>
      </c>
      <c r="B245" t="s">
        <v>710</v>
      </c>
      <c r="C245" t="s">
        <v>711</v>
      </c>
      <c r="D245" t="s">
        <v>878</v>
      </c>
      <c r="E245" t="s">
        <v>507</v>
      </c>
      <c r="F245" t="s">
        <v>760</v>
      </c>
      <c r="G245" t="s">
        <v>879</v>
      </c>
      <c r="I245" t="s">
        <v>880</v>
      </c>
      <c r="J245" t="s">
        <v>239</v>
      </c>
      <c r="K245" t="s">
        <v>737</v>
      </c>
      <c r="L245">
        <v>15950748778</v>
      </c>
      <c r="N245" t="s">
        <v>83</v>
      </c>
      <c r="O245" s="2">
        <v>45803</v>
      </c>
      <c r="P245" s="2">
        <v>46533</v>
      </c>
      <c r="Q245" t="s">
        <v>65</v>
      </c>
      <c r="R245" t="s">
        <v>86</v>
      </c>
      <c r="S245" t="s">
        <v>155</v>
      </c>
      <c r="T245" t="s">
        <v>881</v>
      </c>
      <c r="U245" t="s">
        <v>507</v>
      </c>
      <c r="V245" t="s">
        <v>57</v>
      </c>
      <c r="W245" t="s">
        <v>322</v>
      </c>
      <c r="X245" t="s">
        <v>747</v>
      </c>
      <c r="Z245" t="s">
        <v>113</v>
      </c>
      <c r="AA245" t="s">
        <v>159</v>
      </c>
      <c r="AB245" t="s">
        <v>65</v>
      </c>
      <c r="AC245">
        <v>650</v>
      </c>
      <c r="AD245" t="s">
        <v>69</v>
      </c>
      <c r="AE245">
        <v>41</v>
      </c>
      <c r="AF245">
        <v>0</v>
      </c>
      <c r="AH245">
        <v>23</v>
      </c>
      <c r="AP245" t="s">
        <v>93</v>
      </c>
      <c r="AQ245" t="s">
        <v>117</v>
      </c>
      <c r="AS245" t="s">
        <v>748</v>
      </c>
      <c r="AT245">
        <v>23</v>
      </c>
      <c r="AU245">
        <v>18.2</v>
      </c>
      <c r="AV245">
        <v>28</v>
      </c>
      <c r="AW245">
        <v>41</v>
      </c>
      <c r="AZ245">
        <v>222000</v>
      </c>
      <c r="BB245" t="s">
        <v>248</v>
      </c>
      <c r="BD245" t="s">
        <v>249</v>
      </c>
      <c r="BE245" t="s">
        <v>250</v>
      </c>
    </row>
    <row r="246" spans="1:57" x14ac:dyDescent="0.3">
      <c r="A246" s="7">
        <v>261</v>
      </c>
      <c r="B246" t="s">
        <v>710</v>
      </c>
      <c r="C246" t="s">
        <v>711</v>
      </c>
      <c r="D246" t="s">
        <v>882</v>
      </c>
      <c r="E246" t="s">
        <v>214</v>
      </c>
      <c r="F246" t="s">
        <v>341</v>
      </c>
      <c r="G246">
        <v>1010411</v>
      </c>
      <c r="I246" t="s">
        <v>216</v>
      </c>
      <c r="J246" t="s">
        <v>239</v>
      </c>
      <c r="K246" t="s">
        <v>728</v>
      </c>
      <c r="L246">
        <v>15950748778</v>
      </c>
      <c r="M246">
        <v>15950748778</v>
      </c>
      <c r="N246" t="s">
        <v>83</v>
      </c>
      <c r="O246" s="2">
        <v>45803</v>
      </c>
      <c r="P246" s="2">
        <v>46168</v>
      </c>
      <c r="Q246" t="s">
        <v>65</v>
      </c>
      <c r="R246" t="s">
        <v>86</v>
      </c>
      <c r="S246" t="s">
        <v>155</v>
      </c>
      <c r="T246" t="s">
        <v>883</v>
      </c>
      <c r="U246" t="s">
        <v>214</v>
      </c>
      <c r="V246" t="s">
        <v>57</v>
      </c>
      <c r="W246" t="s">
        <v>754</v>
      </c>
      <c r="X246" t="s">
        <v>747</v>
      </c>
      <c r="Y246">
        <v>13705133398</v>
      </c>
      <c r="Z246" t="s">
        <v>113</v>
      </c>
      <c r="AA246" t="s">
        <v>159</v>
      </c>
      <c r="AB246" t="s">
        <v>65</v>
      </c>
      <c r="AC246">
        <v>515</v>
      </c>
      <c r="AD246" t="s">
        <v>69</v>
      </c>
      <c r="AE246">
        <v>25</v>
      </c>
      <c r="AF246">
        <v>99</v>
      </c>
      <c r="AK246">
        <v>1.75</v>
      </c>
      <c r="AN246">
        <v>17</v>
      </c>
      <c r="AP246" t="s">
        <v>163</v>
      </c>
      <c r="AS246" t="s">
        <v>344</v>
      </c>
      <c r="AT246">
        <v>1.75</v>
      </c>
      <c r="AU246">
        <v>15</v>
      </c>
      <c r="AV246">
        <v>17</v>
      </c>
      <c r="AW246">
        <v>25</v>
      </c>
      <c r="AZ246">
        <v>222042</v>
      </c>
    </row>
    <row r="247" spans="1:57" x14ac:dyDescent="0.3">
      <c r="A247" s="7">
        <v>262</v>
      </c>
      <c r="B247" t="s">
        <v>710</v>
      </c>
      <c r="C247" t="s">
        <v>711</v>
      </c>
      <c r="D247" t="s">
        <v>887</v>
      </c>
      <c r="E247" t="s">
        <v>557</v>
      </c>
      <c r="F247" t="s">
        <v>888</v>
      </c>
      <c r="G247" t="s">
        <v>889</v>
      </c>
      <c r="I247" t="s">
        <v>560</v>
      </c>
      <c r="J247" t="s">
        <v>239</v>
      </c>
      <c r="K247" t="s">
        <v>737</v>
      </c>
      <c r="L247">
        <v>15950748778</v>
      </c>
      <c r="N247">
        <v>7</v>
      </c>
      <c r="O247" s="2">
        <v>45579</v>
      </c>
      <c r="P247" s="2">
        <v>45944</v>
      </c>
      <c r="Q247" t="s">
        <v>65</v>
      </c>
      <c r="R247" t="s">
        <v>86</v>
      </c>
      <c r="S247" t="s">
        <v>155</v>
      </c>
      <c r="T247" t="s">
        <v>890</v>
      </c>
      <c r="U247" t="s">
        <v>557</v>
      </c>
      <c r="V247" t="s">
        <v>57</v>
      </c>
      <c r="W247" t="s">
        <v>184</v>
      </c>
      <c r="X247" t="s">
        <v>747</v>
      </c>
      <c r="Y247">
        <v>13705133398</v>
      </c>
      <c r="Z247" t="s">
        <v>113</v>
      </c>
      <c r="AA247" t="s">
        <v>159</v>
      </c>
      <c r="AB247" t="s">
        <v>65</v>
      </c>
      <c r="AC247">
        <v>815</v>
      </c>
      <c r="AD247" t="s">
        <v>69</v>
      </c>
      <c r="AE247">
        <v>45</v>
      </c>
      <c r="AF247">
        <v>315</v>
      </c>
      <c r="AK247">
        <v>2.17</v>
      </c>
      <c r="AP247" t="s">
        <v>163</v>
      </c>
      <c r="AS247" t="s">
        <v>891</v>
      </c>
      <c r="AT247" t="s">
        <v>732</v>
      </c>
      <c r="AU247">
        <v>15.1</v>
      </c>
      <c r="AW247">
        <v>45</v>
      </c>
      <c r="AZ247">
        <v>222000</v>
      </c>
    </row>
    <row r="248" spans="1:57" x14ac:dyDescent="0.3">
      <c r="A248" s="7">
        <v>263</v>
      </c>
      <c r="B248" t="s">
        <v>710</v>
      </c>
      <c r="C248" t="s">
        <v>711</v>
      </c>
      <c r="D248" t="s">
        <v>892</v>
      </c>
      <c r="E248" t="s">
        <v>557</v>
      </c>
      <c r="F248" t="s">
        <v>888</v>
      </c>
      <c r="G248" t="s">
        <v>893</v>
      </c>
      <c r="I248" t="s">
        <v>216</v>
      </c>
      <c r="J248" t="s">
        <v>239</v>
      </c>
      <c r="K248" t="s">
        <v>737</v>
      </c>
      <c r="L248">
        <v>15950748778</v>
      </c>
      <c r="M248">
        <v>15950748778</v>
      </c>
      <c r="N248">
        <v>8</v>
      </c>
      <c r="O248" s="2">
        <v>45579</v>
      </c>
      <c r="P248" s="2">
        <v>45944</v>
      </c>
      <c r="Q248" t="s">
        <v>65</v>
      </c>
      <c r="R248" t="s">
        <v>86</v>
      </c>
      <c r="S248" t="s">
        <v>155</v>
      </c>
      <c r="T248" t="s">
        <v>894</v>
      </c>
      <c r="U248" t="s">
        <v>557</v>
      </c>
      <c r="V248" t="s">
        <v>57</v>
      </c>
      <c r="W248" t="s">
        <v>184</v>
      </c>
      <c r="X248" t="s">
        <v>747</v>
      </c>
      <c r="Y248">
        <v>13705133398</v>
      </c>
      <c r="Z248" t="s">
        <v>113</v>
      </c>
      <c r="AA248" t="s">
        <v>159</v>
      </c>
      <c r="AB248" t="s">
        <v>65</v>
      </c>
      <c r="AC248">
        <v>815</v>
      </c>
      <c r="AD248" t="s">
        <v>69</v>
      </c>
      <c r="AE248">
        <v>45</v>
      </c>
      <c r="AF248">
        <v>315</v>
      </c>
      <c r="AK248">
        <v>2.17</v>
      </c>
      <c r="AP248" t="s">
        <v>163</v>
      </c>
      <c r="AS248" t="s">
        <v>891</v>
      </c>
      <c r="AT248" t="s">
        <v>732</v>
      </c>
      <c r="AU248">
        <v>15.1</v>
      </c>
      <c r="AW248">
        <v>45</v>
      </c>
      <c r="AZ248">
        <v>222000</v>
      </c>
    </row>
    <row r="249" spans="1:57" x14ac:dyDescent="0.3">
      <c r="A249" s="7">
        <v>264</v>
      </c>
      <c r="B249" t="s">
        <v>710</v>
      </c>
      <c r="C249" t="s">
        <v>711</v>
      </c>
      <c r="D249" t="s">
        <v>895</v>
      </c>
      <c r="E249" t="s">
        <v>507</v>
      </c>
      <c r="F249" t="s">
        <v>868</v>
      </c>
      <c r="G249" t="s">
        <v>896</v>
      </c>
      <c r="H249" t="s">
        <v>83</v>
      </c>
      <c r="I249" t="s">
        <v>897</v>
      </c>
      <c r="J249" t="s">
        <v>239</v>
      </c>
      <c r="K249" t="s">
        <v>728</v>
      </c>
      <c r="L249">
        <v>15950748778</v>
      </c>
      <c r="M249">
        <v>15950748778</v>
      </c>
      <c r="N249" t="s">
        <v>862</v>
      </c>
      <c r="O249" s="2">
        <v>45421</v>
      </c>
      <c r="P249" s="2">
        <v>46150</v>
      </c>
      <c r="Q249" t="s">
        <v>65</v>
      </c>
      <c r="R249" t="s">
        <v>86</v>
      </c>
      <c r="S249" t="s">
        <v>195</v>
      </c>
      <c r="T249" t="s">
        <v>898</v>
      </c>
      <c r="U249" t="s">
        <v>507</v>
      </c>
      <c r="V249" t="s">
        <v>57</v>
      </c>
      <c r="W249" t="s">
        <v>322</v>
      </c>
      <c r="X249" t="s">
        <v>772</v>
      </c>
      <c r="Y249">
        <v>13705133398</v>
      </c>
      <c r="Z249" t="s">
        <v>113</v>
      </c>
      <c r="AA249" t="s">
        <v>159</v>
      </c>
      <c r="AB249" t="s">
        <v>65</v>
      </c>
      <c r="AC249">
        <v>650</v>
      </c>
      <c r="AD249" t="s">
        <v>69</v>
      </c>
      <c r="AE249">
        <v>41</v>
      </c>
      <c r="AH249">
        <v>23.47</v>
      </c>
      <c r="AK249" t="s">
        <v>872</v>
      </c>
      <c r="AN249">
        <v>28</v>
      </c>
      <c r="AP249" t="s">
        <v>163</v>
      </c>
      <c r="AQ249" t="s">
        <v>117</v>
      </c>
      <c r="AS249" t="s">
        <v>873</v>
      </c>
      <c r="AT249" t="s">
        <v>872</v>
      </c>
      <c r="AU249">
        <v>18.2</v>
      </c>
      <c r="AV249">
        <v>28</v>
      </c>
      <c r="AW249">
        <v>41</v>
      </c>
      <c r="AZ249">
        <v>222042</v>
      </c>
      <c r="BB249" t="s">
        <v>473</v>
      </c>
      <c r="BD249" t="s">
        <v>474</v>
      </c>
      <c r="BE249" t="s">
        <v>475</v>
      </c>
    </row>
    <row r="250" spans="1:57" x14ac:dyDescent="0.3">
      <c r="A250" s="7">
        <v>265</v>
      </c>
      <c r="B250" t="s">
        <v>710</v>
      </c>
      <c r="C250" t="s">
        <v>711</v>
      </c>
      <c r="D250" t="s">
        <v>899</v>
      </c>
      <c r="E250" t="s">
        <v>507</v>
      </c>
      <c r="F250" t="s">
        <v>868</v>
      </c>
      <c r="G250" t="s">
        <v>900</v>
      </c>
      <c r="H250" t="s">
        <v>83</v>
      </c>
      <c r="I250" t="s">
        <v>901</v>
      </c>
      <c r="J250" t="s">
        <v>239</v>
      </c>
      <c r="K250" t="s">
        <v>728</v>
      </c>
      <c r="L250">
        <v>15950748778</v>
      </c>
      <c r="M250">
        <v>15950748778</v>
      </c>
      <c r="N250" t="s">
        <v>392</v>
      </c>
      <c r="O250" s="2">
        <v>45421</v>
      </c>
      <c r="P250" s="2">
        <v>46150</v>
      </c>
      <c r="Q250" t="s">
        <v>65</v>
      </c>
      <c r="R250" t="s">
        <v>86</v>
      </c>
      <c r="S250" t="s">
        <v>195</v>
      </c>
      <c r="T250" t="s">
        <v>902</v>
      </c>
      <c r="U250" t="s">
        <v>507</v>
      </c>
      <c r="V250" t="s">
        <v>57</v>
      </c>
      <c r="W250" t="s">
        <v>322</v>
      </c>
      <c r="X250" t="s">
        <v>772</v>
      </c>
      <c r="Y250">
        <v>13705133398</v>
      </c>
      <c r="Z250" t="s">
        <v>113</v>
      </c>
      <c r="AA250" t="s">
        <v>159</v>
      </c>
      <c r="AB250" t="s">
        <v>65</v>
      </c>
      <c r="AC250">
        <v>650</v>
      </c>
      <c r="AD250" t="s">
        <v>69</v>
      </c>
      <c r="AE250">
        <v>41</v>
      </c>
      <c r="AH250">
        <v>23.47</v>
      </c>
      <c r="AK250" t="s">
        <v>872</v>
      </c>
      <c r="AN250">
        <v>28</v>
      </c>
      <c r="AP250" t="s">
        <v>163</v>
      </c>
      <c r="AQ250" t="s">
        <v>117</v>
      </c>
      <c r="AS250" t="s">
        <v>873</v>
      </c>
      <c r="AT250" t="s">
        <v>872</v>
      </c>
      <c r="AU250">
        <v>18.2</v>
      </c>
      <c r="AV250">
        <v>28</v>
      </c>
      <c r="AW250">
        <v>41</v>
      </c>
      <c r="AZ250">
        <v>222042</v>
      </c>
      <c r="BB250" t="s">
        <v>473</v>
      </c>
      <c r="BD250" t="s">
        <v>474</v>
      </c>
      <c r="BE250" t="s">
        <v>475</v>
      </c>
    </row>
    <row r="251" spans="1:57" x14ac:dyDescent="0.3">
      <c r="A251" s="7">
        <v>266</v>
      </c>
      <c r="B251" t="s">
        <v>710</v>
      </c>
      <c r="C251" t="s">
        <v>711</v>
      </c>
      <c r="D251" t="s">
        <v>903</v>
      </c>
      <c r="E251" t="s">
        <v>507</v>
      </c>
      <c r="F251" t="s">
        <v>868</v>
      </c>
      <c r="G251" t="s">
        <v>904</v>
      </c>
      <c r="H251" t="s">
        <v>83</v>
      </c>
      <c r="I251" t="s">
        <v>905</v>
      </c>
      <c r="J251" t="s">
        <v>239</v>
      </c>
      <c r="K251" t="s">
        <v>728</v>
      </c>
      <c r="L251">
        <v>15950748778</v>
      </c>
      <c r="M251">
        <v>15950748778</v>
      </c>
      <c r="N251" t="s">
        <v>834</v>
      </c>
      <c r="O251" s="2">
        <v>45421</v>
      </c>
      <c r="P251" s="2">
        <v>46150</v>
      </c>
      <c r="Q251" t="s">
        <v>65</v>
      </c>
      <c r="R251" t="s">
        <v>86</v>
      </c>
      <c r="S251" t="s">
        <v>195</v>
      </c>
      <c r="T251" t="s">
        <v>906</v>
      </c>
      <c r="U251" t="s">
        <v>507</v>
      </c>
      <c r="V251" t="s">
        <v>57</v>
      </c>
      <c r="W251" t="s">
        <v>322</v>
      </c>
      <c r="X251" t="s">
        <v>772</v>
      </c>
      <c r="Y251">
        <v>13705133398</v>
      </c>
      <c r="Z251" t="s">
        <v>113</v>
      </c>
      <c r="AA251" t="s">
        <v>159</v>
      </c>
      <c r="AB251" t="s">
        <v>65</v>
      </c>
      <c r="AC251">
        <v>650</v>
      </c>
      <c r="AD251" t="s">
        <v>69</v>
      </c>
      <c r="AE251">
        <v>41</v>
      </c>
      <c r="AH251">
        <v>23.47</v>
      </c>
      <c r="AK251" t="s">
        <v>872</v>
      </c>
      <c r="AN251">
        <v>28</v>
      </c>
      <c r="AP251" t="s">
        <v>163</v>
      </c>
      <c r="AQ251" t="s">
        <v>117</v>
      </c>
      <c r="AS251" t="s">
        <v>873</v>
      </c>
      <c r="AT251" t="s">
        <v>872</v>
      </c>
      <c r="AU251">
        <v>18.2</v>
      </c>
      <c r="AV251">
        <v>28</v>
      </c>
      <c r="AW251">
        <v>41</v>
      </c>
      <c r="AZ251">
        <v>222042</v>
      </c>
      <c r="BB251" t="s">
        <v>473</v>
      </c>
      <c r="BD251" t="s">
        <v>474</v>
      </c>
      <c r="BE251" t="s">
        <v>475</v>
      </c>
    </row>
    <row r="252" spans="1:57" x14ac:dyDescent="0.3">
      <c r="A252" s="7">
        <v>267</v>
      </c>
      <c r="B252" t="s">
        <v>710</v>
      </c>
      <c r="C252" t="s">
        <v>711</v>
      </c>
      <c r="D252" t="s">
        <v>907</v>
      </c>
      <c r="E252" t="s">
        <v>557</v>
      </c>
      <c r="F252" t="s">
        <v>908</v>
      </c>
      <c r="G252" t="s">
        <v>909</v>
      </c>
      <c r="I252" t="s">
        <v>216</v>
      </c>
      <c r="J252" t="s">
        <v>239</v>
      </c>
      <c r="K252" t="s">
        <v>737</v>
      </c>
      <c r="L252">
        <v>15950748778</v>
      </c>
      <c r="N252">
        <v>9</v>
      </c>
      <c r="O252" s="2">
        <v>45579</v>
      </c>
      <c r="P252" s="2">
        <v>45944</v>
      </c>
      <c r="Q252" t="s">
        <v>65</v>
      </c>
      <c r="R252" t="s">
        <v>86</v>
      </c>
      <c r="S252" t="s">
        <v>155</v>
      </c>
      <c r="T252" t="s">
        <v>910</v>
      </c>
      <c r="U252" t="s">
        <v>557</v>
      </c>
      <c r="V252" t="s">
        <v>57</v>
      </c>
      <c r="W252" t="s">
        <v>184</v>
      </c>
      <c r="X252" t="s">
        <v>747</v>
      </c>
      <c r="Y252">
        <v>13705133398</v>
      </c>
      <c r="Z252" t="s">
        <v>113</v>
      </c>
      <c r="AA252" t="s">
        <v>159</v>
      </c>
      <c r="AB252" t="s">
        <v>65</v>
      </c>
      <c r="AC252">
        <v>815</v>
      </c>
      <c r="AD252" t="s">
        <v>69</v>
      </c>
      <c r="AE252">
        <v>45</v>
      </c>
      <c r="AF252">
        <v>315</v>
      </c>
      <c r="AK252">
        <v>2.17</v>
      </c>
      <c r="AP252" t="s">
        <v>163</v>
      </c>
      <c r="AS252" t="s">
        <v>891</v>
      </c>
      <c r="AT252" t="s">
        <v>732</v>
      </c>
      <c r="AU252">
        <v>15.1</v>
      </c>
      <c r="AW252">
        <v>45</v>
      </c>
      <c r="AZ252">
        <v>222000</v>
      </c>
    </row>
    <row r="253" spans="1:57" x14ac:dyDescent="0.3">
      <c r="A253" s="7">
        <v>268</v>
      </c>
      <c r="B253" t="s">
        <v>710</v>
      </c>
      <c r="C253" t="s">
        <v>711</v>
      </c>
      <c r="D253" t="s">
        <v>911</v>
      </c>
      <c r="E253" t="s">
        <v>214</v>
      </c>
      <c r="F253" t="s">
        <v>341</v>
      </c>
      <c r="G253">
        <v>1010414</v>
      </c>
      <c r="I253" t="s">
        <v>216</v>
      </c>
      <c r="J253" t="s">
        <v>239</v>
      </c>
      <c r="K253" t="s">
        <v>728</v>
      </c>
      <c r="L253">
        <v>15950748778</v>
      </c>
      <c r="M253">
        <v>15950748778</v>
      </c>
      <c r="N253" t="s">
        <v>83</v>
      </c>
      <c r="O253" s="2">
        <v>45803</v>
      </c>
      <c r="P253" s="2">
        <v>46168</v>
      </c>
      <c r="Q253" t="s">
        <v>65</v>
      </c>
      <c r="R253" t="s">
        <v>86</v>
      </c>
      <c r="S253" t="s">
        <v>155</v>
      </c>
      <c r="T253" t="s">
        <v>912</v>
      </c>
      <c r="U253" t="s">
        <v>214</v>
      </c>
      <c r="V253" t="s">
        <v>57</v>
      </c>
      <c r="W253" t="s">
        <v>913</v>
      </c>
      <c r="X253" t="s">
        <v>747</v>
      </c>
      <c r="Y253">
        <v>13705133398</v>
      </c>
      <c r="Z253" t="s">
        <v>113</v>
      </c>
      <c r="AA253" t="s">
        <v>159</v>
      </c>
      <c r="AB253" t="s">
        <v>65</v>
      </c>
      <c r="AC253">
        <v>515</v>
      </c>
      <c r="AD253" t="s">
        <v>69</v>
      </c>
      <c r="AE253">
        <v>25</v>
      </c>
      <c r="AF253">
        <v>99</v>
      </c>
      <c r="AK253">
        <v>1.75</v>
      </c>
      <c r="AN253">
        <v>17</v>
      </c>
      <c r="AP253" t="s">
        <v>163</v>
      </c>
      <c r="AS253" t="s">
        <v>344</v>
      </c>
      <c r="AT253">
        <v>1.75</v>
      </c>
      <c r="AU253">
        <v>15</v>
      </c>
      <c r="AV253">
        <v>17</v>
      </c>
      <c r="AW253">
        <v>25</v>
      </c>
      <c r="AZ253">
        <v>222042</v>
      </c>
    </row>
    <row r="254" spans="1:57" x14ac:dyDescent="0.3">
      <c r="A254" s="7">
        <v>269</v>
      </c>
      <c r="B254" t="s">
        <v>710</v>
      </c>
      <c r="C254" t="s">
        <v>711</v>
      </c>
      <c r="D254" t="s">
        <v>914</v>
      </c>
      <c r="E254" t="s">
        <v>567</v>
      </c>
      <c r="F254" t="s">
        <v>742</v>
      </c>
      <c r="G254" t="s">
        <v>60</v>
      </c>
      <c r="H254" t="s">
        <v>83</v>
      </c>
      <c r="I254" t="s">
        <v>269</v>
      </c>
      <c r="J254" t="s">
        <v>239</v>
      </c>
      <c r="K254" t="s">
        <v>728</v>
      </c>
      <c r="L254">
        <v>15950748778</v>
      </c>
      <c r="M254">
        <v>15950748778</v>
      </c>
      <c r="N254">
        <v>7</v>
      </c>
      <c r="O254" s="2">
        <v>45425</v>
      </c>
      <c r="P254" s="2">
        <v>46155</v>
      </c>
      <c r="Q254" t="s">
        <v>65</v>
      </c>
      <c r="R254" t="s">
        <v>86</v>
      </c>
      <c r="S254" t="s">
        <v>195</v>
      </c>
      <c r="T254" t="s">
        <v>915</v>
      </c>
      <c r="U254" t="s">
        <v>854</v>
      </c>
      <c r="V254" t="s">
        <v>57</v>
      </c>
      <c r="W254" t="s">
        <v>754</v>
      </c>
      <c r="X254" t="s">
        <v>772</v>
      </c>
      <c r="Y254">
        <v>13705133398</v>
      </c>
      <c r="Z254" t="s">
        <v>113</v>
      </c>
      <c r="AA254" t="s">
        <v>290</v>
      </c>
      <c r="AB254" t="s">
        <v>65</v>
      </c>
      <c r="AC254">
        <v>850</v>
      </c>
      <c r="AD254" t="s">
        <v>69</v>
      </c>
      <c r="AE254">
        <v>61</v>
      </c>
      <c r="AH254">
        <v>30</v>
      </c>
      <c r="AK254" t="s">
        <v>855</v>
      </c>
      <c r="AN254">
        <v>28</v>
      </c>
      <c r="AP254" t="s">
        <v>163</v>
      </c>
      <c r="AQ254" t="s">
        <v>117</v>
      </c>
      <c r="AS254" t="s">
        <v>597</v>
      </c>
      <c r="AT254" t="s">
        <v>856</v>
      </c>
      <c r="AU254">
        <f>-18-36</f>
        <v>-54</v>
      </c>
      <c r="AV254">
        <v>30</v>
      </c>
      <c r="AW254">
        <v>61</v>
      </c>
      <c r="AZ254">
        <v>222042</v>
      </c>
      <c r="BB254" t="s">
        <v>473</v>
      </c>
      <c r="BD254" t="s">
        <v>474</v>
      </c>
      <c r="BE254" t="s">
        <v>475</v>
      </c>
    </row>
    <row r="255" spans="1:57" x14ac:dyDescent="0.3">
      <c r="A255" s="7">
        <v>270</v>
      </c>
      <c r="B255" t="s">
        <v>710</v>
      </c>
      <c r="C255" t="s">
        <v>711</v>
      </c>
      <c r="D255" t="s">
        <v>916</v>
      </c>
      <c r="E255" t="s">
        <v>507</v>
      </c>
      <c r="F255" t="s">
        <v>760</v>
      </c>
      <c r="G255" t="s">
        <v>917</v>
      </c>
      <c r="I255" t="s">
        <v>918</v>
      </c>
      <c r="J255" t="s">
        <v>239</v>
      </c>
      <c r="K255" t="s">
        <v>737</v>
      </c>
      <c r="L255">
        <v>15950748778</v>
      </c>
      <c r="N255" t="s">
        <v>83</v>
      </c>
      <c r="O255" s="2">
        <v>45803</v>
      </c>
      <c r="P255" s="2">
        <v>46533</v>
      </c>
      <c r="Q255" t="s">
        <v>65</v>
      </c>
      <c r="R255" t="s">
        <v>86</v>
      </c>
      <c r="S255" t="s">
        <v>155</v>
      </c>
      <c r="T255" t="s">
        <v>919</v>
      </c>
      <c r="U255" t="s">
        <v>507</v>
      </c>
      <c r="V255" t="s">
        <v>57</v>
      </c>
      <c r="W255" t="s">
        <v>322</v>
      </c>
      <c r="X255" t="s">
        <v>747</v>
      </c>
      <c r="Z255" t="s">
        <v>113</v>
      </c>
      <c r="AA255" t="s">
        <v>159</v>
      </c>
      <c r="AB255" t="s">
        <v>65</v>
      </c>
      <c r="AC255">
        <v>650</v>
      </c>
      <c r="AD255" t="s">
        <v>69</v>
      </c>
      <c r="AE255">
        <v>41</v>
      </c>
      <c r="AF255">
        <v>0</v>
      </c>
      <c r="AH255">
        <v>23</v>
      </c>
      <c r="AP255" t="s">
        <v>93</v>
      </c>
      <c r="AQ255" t="s">
        <v>117</v>
      </c>
      <c r="AS255" t="s">
        <v>748</v>
      </c>
      <c r="AT255">
        <v>23</v>
      </c>
      <c r="AU255">
        <v>18.2</v>
      </c>
      <c r="AV255">
        <v>28</v>
      </c>
      <c r="AW255">
        <v>41</v>
      </c>
      <c r="AZ255">
        <v>222000</v>
      </c>
      <c r="BB255" t="s">
        <v>248</v>
      </c>
      <c r="BD255" t="s">
        <v>249</v>
      </c>
      <c r="BE255" t="s">
        <v>250</v>
      </c>
    </row>
    <row r="256" spans="1:57" x14ac:dyDescent="0.3">
      <c r="A256" s="7">
        <v>271</v>
      </c>
      <c r="B256" t="s">
        <v>504</v>
      </c>
      <c r="C256" t="s">
        <v>505</v>
      </c>
      <c r="D256" t="s">
        <v>506</v>
      </c>
      <c r="E256" t="s">
        <v>507</v>
      </c>
      <c r="F256" t="s">
        <v>508</v>
      </c>
      <c r="G256" t="s">
        <v>509</v>
      </c>
      <c r="H256" s="5">
        <v>45717</v>
      </c>
      <c r="I256" t="s">
        <v>510</v>
      </c>
      <c r="J256" t="s">
        <v>511</v>
      </c>
      <c r="K256" t="s">
        <v>512</v>
      </c>
      <c r="L256">
        <v>18036603058</v>
      </c>
      <c r="M256">
        <v>18036603058</v>
      </c>
      <c r="N256">
        <v>10</v>
      </c>
      <c r="O256" s="2">
        <v>45838</v>
      </c>
      <c r="P256" s="2">
        <v>46567</v>
      </c>
      <c r="Q256" t="s">
        <v>65</v>
      </c>
      <c r="R256" t="s">
        <v>86</v>
      </c>
      <c r="S256" t="s">
        <v>87</v>
      </c>
      <c r="T256" t="s">
        <v>513</v>
      </c>
      <c r="U256" t="s">
        <v>514</v>
      </c>
      <c r="V256" t="s">
        <v>57</v>
      </c>
      <c r="Z256" t="s">
        <v>113</v>
      </c>
      <c r="AA256" t="s">
        <v>515</v>
      </c>
      <c r="AB256" t="s">
        <v>132</v>
      </c>
      <c r="AC256">
        <v>1000</v>
      </c>
      <c r="AD256" t="s">
        <v>69</v>
      </c>
      <c r="AE256">
        <v>41</v>
      </c>
      <c r="AH256">
        <v>23.47</v>
      </c>
      <c r="AO256" t="s">
        <v>83</v>
      </c>
      <c r="AP256" t="s">
        <v>93</v>
      </c>
      <c r="AQ256" t="s">
        <v>117</v>
      </c>
      <c r="AR256" t="s">
        <v>516</v>
      </c>
      <c r="AT256" t="s">
        <v>517</v>
      </c>
      <c r="AU256">
        <v>18.2</v>
      </c>
      <c r="AV256">
        <v>28</v>
      </c>
      <c r="AW256">
        <v>41</v>
      </c>
      <c r="AZ256">
        <v>222000</v>
      </c>
    </row>
    <row r="257" spans="1:57" x14ac:dyDescent="0.3">
      <c r="A257" s="7">
        <v>272</v>
      </c>
      <c r="B257" t="s">
        <v>504</v>
      </c>
      <c r="C257" t="s">
        <v>505</v>
      </c>
      <c r="D257" t="s">
        <v>518</v>
      </c>
      <c r="E257" t="s">
        <v>507</v>
      </c>
      <c r="F257" t="s">
        <v>508</v>
      </c>
      <c r="G257" t="s">
        <v>519</v>
      </c>
      <c r="H257" s="5">
        <v>45717</v>
      </c>
      <c r="I257" t="s">
        <v>510</v>
      </c>
      <c r="J257" t="s">
        <v>511</v>
      </c>
      <c r="K257" t="s">
        <v>512</v>
      </c>
      <c r="L257">
        <v>18036603058</v>
      </c>
      <c r="M257">
        <v>18036603058</v>
      </c>
      <c r="N257">
        <v>9</v>
      </c>
      <c r="O257" s="2">
        <v>45838</v>
      </c>
      <c r="P257" s="2">
        <v>46567</v>
      </c>
      <c r="Q257" t="s">
        <v>65</v>
      </c>
      <c r="R257" t="s">
        <v>86</v>
      </c>
      <c r="S257" t="s">
        <v>87</v>
      </c>
      <c r="T257" t="s">
        <v>520</v>
      </c>
      <c r="U257" t="s">
        <v>514</v>
      </c>
      <c r="V257" t="s">
        <v>57</v>
      </c>
      <c r="Z257" t="s">
        <v>113</v>
      </c>
      <c r="AA257" t="s">
        <v>515</v>
      </c>
      <c r="AB257" t="s">
        <v>132</v>
      </c>
      <c r="AC257">
        <v>1000</v>
      </c>
      <c r="AD257" t="s">
        <v>69</v>
      </c>
      <c r="AE257">
        <v>41</v>
      </c>
      <c r="AH257">
        <v>23.47</v>
      </c>
      <c r="AO257" t="s">
        <v>83</v>
      </c>
      <c r="AP257" t="s">
        <v>93</v>
      </c>
      <c r="AQ257" t="s">
        <v>117</v>
      </c>
      <c r="AR257" t="s">
        <v>521</v>
      </c>
      <c r="AT257" t="s">
        <v>517</v>
      </c>
      <c r="AU257">
        <v>18.2</v>
      </c>
      <c r="AV257">
        <v>28</v>
      </c>
      <c r="AW257">
        <v>41</v>
      </c>
      <c r="AZ257">
        <v>222000</v>
      </c>
    </row>
    <row r="258" spans="1:57" x14ac:dyDescent="0.3">
      <c r="A258" s="7">
        <v>273</v>
      </c>
      <c r="B258" t="s">
        <v>504</v>
      </c>
      <c r="C258" t="s">
        <v>505</v>
      </c>
      <c r="D258" t="s">
        <v>522</v>
      </c>
      <c r="E258" t="s">
        <v>507</v>
      </c>
      <c r="F258" t="s">
        <v>508</v>
      </c>
      <c r="G258" t="s">
        <v>523</v>
      </c>
      <c r="H258" s="5">
        <v>45717</v>
      </c>
      <c r="I258" t="s">
        <v>510</v>
      </c>
      <c r="J258" t="s">
        <v>511</v>
      </c>
      <c r="K258" t="s">
        <v>512</v>
      </c>
      <c r="L258">
        <v>18036603058</v>
      </c>
      <c r="M258">
        <v>18036603058</v>
      </c>
      <c r="N258">
        <v>8</v>
      </c>
      <c r="O258" s="2">
        <v>45838</v>
      </c>
      <c r="P258" s="2">
        <v>46568</v>
      </c>
      <c r="Q258" t="s">
        <v>65</v>
      </c>
      <c r="R258" t="s">
        <v>86</v>
      </c>
      <c r="S258" t="s">
        <v>87</v>
      </c>
      <c r="T258" t="s">
        <v>524</v>
      </c>
      <c r="U258" t="s">
        <v>514</v>
      </c>
      <c r="V258" t="s">
        <v>57</v>
      </c>
      <c r="Z258" t="s">
        <v>113</v>
      </c>
      <c r="AA258" t="s">
        <v>515</v>
      </c>
      <c r="AB258" t="s">
        <v>132</v>
      </c>
      <c r="AC258">
        <v>1000</v>
      </c>
      <c r="AD258" t="s">
        <v>69</v>
      </c>
      <c r="AE258">
        <v>41</v>
      </c>
      <c r="AH258">
        <v>23.47</v>
      </c>
      <c r="AO258" t="s">
        <v>83</v>
      </c>
      <c r="AP258" t="s">
        <v>93</v>
      </c>
      <c r="AQ258" t="s">
        <v>117</v>
      </c>
      <c r="AR258" t="s">
        <v>525</v>
      </c>
      <c r="AT258" t="s">
        <v>517</v>
      </c>
      <c r="AU258">
        <v>18.2</v>
      </c>
      <c r="AV258">
        <v>28</v>
      </c>
      <c r="AW258">
        <v>41</v>
      </c>
      <c r="AZ258">
        <v>222000</v>
      </c>
    </row>
    <row r="259" spans="1:57" x14ac:dyDescent="0.3">
      <c r="A259" s="7">
        <v>274</v>
      </c>
      <c r="B259" t="s">
        <v>504</v>
      </c>
      <c r="C259" t="s">
        <v>505</v>
      </c>
      <c r="D259" t="s">
        <v>526</v>
      </c>
      <c r="E259" t="s">
        <v>507</v>
      </c>
      <c r="F259" t="s">
        <v>508</v>
      </c>
      <c r="G259" t="s">
        <v>527</v>
      </c>
      <c r="H259" s="5">
        <v>45717</v>
      </c>
      <c r="I259" t="s">
        <v>510</v>
      </c>
      <c r="J259" t="s">
        <v>511</v>
      </c>
      <c r="K259" t="s">
        <v>512</v>
      </c>
      <c r="L259">
        <v>18036603058</v>
      </c>
      <c r="M259">
        <v>18036603058</v>
      </c>
      <c r="N259">
        <v>7</v>
      </c>
      <c r="O259" s="2">
        <v>45838</v>
      </c>
      <c r="P259" s="2">
        <v>46567</v>
      </c>
      <c r="Q259" t="s">
        <v>65</v>
      </c>
      <c r="R259" t="s">
        <v>86</v>
      </c>
      <c r="S259" t="s">
        <v>87</v>
      </c>
      <c r="T259" t="s">
        <v>528</v>
      </c>
      <c r="U259" t="s">
        <v>514</v>
      </c>
      <c r="V259" t="s">
        <v>57</v>
      </c>
      <c r="Z259" t="s">
        <v>113</v>
      </c>
      <c r="AA259" t="s">
        <v>515</v>
      </c>
      <c r="AB259" t="s">
        <v>132</v>
      </c>
      <c r="AC259">
        <v>1000</v>
      </c>
      <c r="AD259" t="s">
        <v>69</v>
      </c>
      <c r="AE259">
        <v>41</v>
      </c>
      <c r="AH259">
        <v>23.47</v>
      </c>
      <c r="AO259" t="s">
        <v>83</v>
      </c>
      <c r="AP259" t="s">
        <v>93</v>
      </c>
      <c r="AQ259" t="s">
        <v>117</v>
      </c>
      <c r="AR259" t="s">
        <v>529</v>
      </c>
      <c r="AT259" t="s">
        <v>517</v>
      </c>
      <c r="AU259">
        <v>18.2</v>
      </c>
      <c r="AV259">
        <v>28</v>
      </c>
      <c r="AW259">
        <v>41</v>
      </c>
      <c r="AZ259">
        <v>222000</v>
      </c>
    </row>
    <row r="260" spans="1:57" x14ac:dyDescent="0.3">
      <c r="A260" s="7">
        <v>275</v>
      </c>
      <c r="B260" t="s">
        <v>504</v>
      </c>
      <c r="C260" t="s">
        <v>505</v>
      </c>
      <c r="D260" t="s">
        <v>530</v>
      </c>
      <c r="E260" t="s">
        <v>531</v>
      </c>
      <c r="F260" t="s">
        <v>532</v>
      </c>
      <c r="G260" t="s">
        <v>533</v>
      </c>
      <c r="H260" s="3">
        <v>45507</v>
      </c>
      <c r="I260" t="s">
        <v>534</v>
      </c>
      <c r="J260" t="s">
        <v>535</v>
      </c>
      <c r="K260" t="s">
        <v>536</v>
      </c>
      <c r="L260">
        <v>13851296880</v>
      </c>
      <c r="M260">
        <v>13851296880</v>
      </c>
      <c r="N260">
        <v>1</v>
      </c>
      <c r="O260" s="2">
        <v>45614</v>
      </c>
      <c r="P260" s="2">
        <v>46343</v>
      </c>
      <c r="Q260" t="s">
        <v>65</v>
      </c>
      <c r="R260" t="s">
        <v>86</v>
      </c>
      <c r="S260" t="s">
        <v>87</v>
      </c>
      <c r="T260" t="s">
        <v>537</v>
      </c>
      <c r="U260" t="s">
        <v>538</v>
      </c>
      <c r="V260" t="s">
        <v>57</v>
      </c>
      <c r="Z260" t="s">
        <v>113</v>
      </c>
      <c r="AA260" t="s">
        <v>515</v>
      </c>
      <c r="AB260" t="s">
        <v>132</v>
      </c>
      <c r="AC260">
        <v>1300</v>
      </c>
      <c r="AD260" t="s">
        <v>69</v>
      </c>
      <c r="AE260">
        <v>41</v>
      </c>
      <c r="AH260">
        <v>37</v>
      </c>
      <c r="AO260" t="s">
        <v>83</v>
      </c>
      <c r="AP260" t="s">
        <v>93</v>
      </c>
      <c r="AQ260" t="s">
        <v>117</v>
      </c>
      <c r="AR260" t="s">
        <v>539</v>
      </c>
      <c r="AT260" t="s">
        <v>540</v>
      </c>
      <c r="AU260">
        <v>21</v>
      </c>
      <c r="AV260">
        <v>28</v>
      </c>
      <c r="AW260">
        <v>41</v>
      </c>
      <c r="AZ260">
        <v>222000</v>
      </c>
    </row>
    <row r="261" spans="1:57" x14ac:dyDescent="0.3">
      <c r="A261" s="7">
        <v>276</v>
      </c>
      <c r="B261" t="s">
        <v>504</v>
      </c>
      <c r="C261" t="s">
        <v>505</v>
      </c>
      <c r="D261" t="s">
        <v>541</v>
      </c>
      <c r="E261" t="s">
        <v>531</v>
      </c>
      <c r="F261" t="s">
        <v>532</v>
      </c>
      <c r="G261" t="s">
        <v>542</v>
      </c>
      <c r="H261" s="3">
        <v>45507</v>
      </c>
      <c r="I261" t="s">
        <v>534</v>
      </c>
      <c r="J261" t="s">
        <v>535</v>
      </c>
      <c r="K261" t="s">
        <v>536</v>
      </c>
      <c r="L261">
        <v>13851296880</v>
      </c>
      <c r="M261">
        <v>13851296880</v>
      </c>
      <c r="N261">
        <v>2</v>
      </c>
      <c r="O261" s="2">
        <v>45614</v>
      </c>
      <c r="P261" s="2">
        <v>46343</v>
      </c>
      <c r="Q261" t="s">
        <v>65</v>
      </c>
      <c r="R261" t="s">
        <v>86</v>
      </c>
      <c r="S261" t="s">
        <v>87</v>
      </c>
      <c r="T261" t="s">
        <v>543</v>
      </c>
      <c r="U261" t="s">
        <v>538</v>
      </c>
      <c r="V261" t="s">
        <v>57</v>
      </c>
      <c r="Z261" t="s">
        <v>113</v>
      </c>
      <c r="AA261" t="s">
        <v>515</v>
      </c>
      <c r="AB261" t="s">
        <v>132</v>
      </c>
      <c r="AC261">
        <v>1300</v>
      </c>
      <c r="AD261" t="s">
        <v>69</v>
      </c>
      <c r="AE261">
        <v>41</v>
      </c>
      <c r="AH261">
        <v>37</v>
      </c>
      <c r="AO261" t="s">
        <v>83</v>
      </c>
      <c r="AP261" t="s">
        <v>93</v>
      </c>
      <c r="AQ261" t="s">
        <v>117</v>
      </c>
      <c r="AR261" t="s">
        <v>544</v>
      </c>
      <c r="AT261" t="s">
        <v>540</v>
      </c>
      <c r="AU261">
        <v>21</v>
      </c>
      <c r="AV261">
        <v>28</v>
      </c>
      <c r="AW261">
        <v>41</v>
      </c>
      <c r="AZ261">
        <v>222000</v>
      </c>
    </row>
    <row r="262" spans="1:57" x14ac:dyDescent="0.3">
      <c r="A262" s="7">
        <v>277</v>
      </c>
      <c r="B262" t="s">
        <v>504</v>
      </c>
      <c r="C262" t="s">
        <v>505</v>
      </c>
      <c r="D262" t="s">
        <v>545</v>
      </c>
      <c r="E262" t="s">
        <v>507</v>
      </c>
      <c r="F262" t="s">
        <v>546</v>
      </c>
      <c r="G262" t="s">
        <v>547</v>
      </c>
      <c r="H262" s="3">
        <v>44165</v>
      </c>
      <c r="I262" t="s">
        <v>548</v>
      </c>
      <c r="J262" t="s">
        <v>549</v>
      </c>
      <c r="K262" t="s">
        <v>536</v>
      </c>
      <c r="L262">
        <v>15005135639</v>
      </c>
      <c r="N262">
        <v>6</v>
      </c>
      <c r="O262" s="2">
        <v>45670</v>
      </c>
      <c r="P262" s="2">
        <v>46400</v>
      </c>
      <c r="Q262" t="s">
        <v>65</v>
      </c>
      <c r="R262" t="s">
        <v>86</v>
      </c>
      <c r="S262" t="s">
        <v>155</v>
      </c>
      <c r="T262" t="s">
        <v>550</v>
      </c>
      <c r="U262" t="s">
        <v>551</v>
      </c>
      <c r="V262" t="s">
        <v>57</v>
      </c>
      <c r="X262" t="s">
        <v>536</v>
      </c>
      <c r="Y262" t="s">
        <v>552</v>
      </c>
      <c r="Z262" t="s">
        <v>113</v>
      </c>
      <c r="AA262" t="s">
        <v>515</v>
      </c>
      <c r="AB262" t="s">
        <v>65</v>
      </c>
      <c r="AC262">
        <v>650</v>
      </c>
      <c r="AD262" t="s">
        <v>69</v>
      </c>
      <c r="AE262">
        <v>41</v>
      </c>
      <c r="AH262">
        <v>23.47</v>
      </c>
      <c r="AO262" t="s">
        <v>83</v>
      </c>
      <c r="AP262" t="s">
        <v>93</v>
      </c>
      <c r="AQ262" t="s">
        <v>117</v>
      </c>
      <c r="AS262" t="s">
        <v>323</v>
      </c>
      <c r="AT262" t="s">
        <v>517</v>
      </c>
      <c r="AU262">
        <v>18.2</v>
      </c>
      <c r="AV262">
        <v>26</v>
      </c>
      <c r="AW262">
        <v>41</v>
      </c>
      <c r="AZ262">
        <v>222000</v>
      </c>
      <c r="BB262" t="s">
        <v>473</v>
      </c>
      <c r="BD262" t="s">
        <v>474</v>
      </c>
      <c r="BE262" t="s">
        <v>475</v>
      </c>
    </row>
    <row r="263" spans="1:57" x14ac:dyDescent="0.3">
      <c r="A263" s="7">
        <v>278</v>
      </c>
      <c r="B263" t="s">
        <v>504</v>
      </c>
      <c r="C263" t="s">
        <v>505</v>
      </c>
      <c r="D263" t="s">
        <v>553</v>
      </c>
      <c r="E263" t="s">
        <v>507</v>
      </c>
      <c r="F263" t="s">
        <v>546</v>
      </c>
      <c r="G263" t="s">
        <v>554</v>
      </c>
      <c r="H263" s="3">
        <v>44165</v>
      </c>
      <c r="I263" t="s">
        <v>548</v>
      </c>
      <c r="J263" t="s">
        <v>549</v>
      </c>
      <c r="K263" t="s">
        <v>536</v>
      </c>
      <c r="L263">
        <v>15005135639</v>
      </c>
      <c r="N263">
        <v>5</v>
      </c>
      <c r="O263" s="2">
        <v>45670</v>
      </c>
      <c r="P263" s="2">
        <v>46400</v>
      </c>
      <c r="Q263" t="s">
        <v>65</v>
      </c>
      <c r="R263" t="s">
        <v>86</v>
      </c>
      <c r="S263" t="s">
        <v>155</v>
      </c>
      <c r="T263" t="s">
        <v>555</v>
      </c>
      <c r="U263" t="s">
        <v>551</v>
      </c>
      <c r="V263" t="s">
        <v>57</v>
      </c>
      <c r="X263" t="s">
        <v>536</v>
      </c>
      <c r="Y263" t="s">
        <v>552</v>
      </c>
      <c r="Z263" t="s">
        <v>113</v>
      </c>
      <c r="AA263" t="s">
        <v>515</v>
      </c>
      <c r="AB263" t="s">
        <v>65</v>
      </c>
      <c r="AC263">
        <v>650</v>
      </c>
      <c r="AD263" t="s">
        <v>69</v>
      </c>
      <c r="AE263">
        <v>41</v>
      </c>
      <c r="AH263">
        <v>23.47</v>
      </c>
      <c r="AO263" t="s">
        <v>83</v>
      </c>
      <c r="AP263" t="s">
        <v>93</v>
      </c>
      <c r="AQ263" t="s">
        <v>117</v>
      </c>
      <c r="AS263" t="s">
        <v>323</v>
      </c>
      <c r="AT263" t="s">
        <v>517</v>
      </c>
      <c r="AU263">
        <v>18.2</v>
      </c>
      <c r="AV263">
        <v>26</v>
      </c>
      <c r="AW263">
        <v>41</v>
      </c>
      <c r="AZ263">
        <v>222000</v>
      </c>
      <c r="BB263" t="s">
        <v>473</v>
      </c>
      <c r="BD263" t="s">
        <v>474</v>
      </c>
      <c r="BE263" t="s">
        <v>475</v>
      </c>
    </row>
    <row r="264" spans="1:57" x14ac:dyDescent="0.3">
      <c r="A264" s="7">
        <v>279</v>
      </c>
      <c r="B264" t="s">
        <v>504</v>
      </c>
      <c r="C264" t="s">
        <v>505</v>
      </c>
      <c r="D264" t="s">
        <v>556</v>
      </c>
      <c r="E264" t="s">
        <v>557</v>
      </c>
      <c r="F264" t="s">
        <v>558</v>
      </c>
      <c r="G264" t="s">
        <v>559</v>
      </c>
      <c r="I264" t="s">
        <v>560</v>
      </c>
      <c r="J264" t="s">
        <v>561</v>
      </c>
      <c r="K264" t="s">
        <v>512</v>
      </c>
      <c r="L264">
        <v>15005135639</v>
      </c>
      <c r="N264">
        <v>1</v>
      </c>
      <c r="O264" s="2">
        <v>45804</v>
      </c>
      <c r="P264" s="2">
        <v>46169</v>
      </c>
      <c r="Q264" t="s">
        <v>65</v>
      </c>
      <c r="R264" t="s">
        <v>86</v>
      </c>
      <c r="S264" t="s">
        <v>155</v>
      </c>
      <c r="T264" t="s">
        <v>562</v>
      </c>
      <c r="V264" t="s">
        <v>57</v>
      </c>
      <c r="W264" t="s">
        <v>563</v>
      </c>
      <c r="X264" t="s">
        <v>564</v>
      </c>
      <c r="Z264" t="s">
        <v>113</v>
      </c>
      <c r="AA264" t="s">
        <v>159</v>
      </c>
      <c r="AB264" t="s">
        <v>65</v>
      </c>
      <c r="AC264">
        <v>815</v>
      </c>
      <c r="AD264" t="s">
        <v>69</v>
      </c>
      <c r="AE264">
        <v>45</v>
      </c>
      <c r="AF264">
        <v>136</v>
      </c>
      <c r="AK264">
        <v>2.17</v>
      </c>
      <c r="AP264" t="s">
        <v>93</v>
      </c>
      <c r="AS264" t="s">
        <v>565</v>
      </c>
      <c r="AT264">
        <v>2.17</v>
      </c>
      <c r="AU264">
        <v>7</v>
      </c>
      <c r="AW264">
        <v>45</v>
      </c>
      <c r="AZ264">
        <v>222042</v>
      </c>
    </row>
    <row r="265" spans="1:57" x14ac:dyDescent="0.3">
      <c r="A265" s="7">
        <v>280</v>
      </c>
      <c r="B265" t="s">
        <v>504</v>
      </c>
      <c r="C265" t="s">
        <v>505</v>
      </c>
      <c r="D265" t="s">
        <v>566</v>
      </c>
      <c r="E265" t="s">
        <v>567</v>
      </c>
      <c r="F265" t="s">
        <v>568</v>
      </c>
      <c r="G265" t="s">
        <v>569</v>
      </c>
      <c r="H265" s="3">
        <v>39749</v>
      </c>
      <c r="I265" t="s">
        <v>570</v>
      </c>
      <c r="J265" t="s">
        <v>511</v>
      </c>
      <c r="K265" t="s">
        <v>512</v>
      </c>
      <c r="L265">
        <v>15005135639</v>
      </c>
      <c r="N265">
        <v>22</v>
      </c>
      <c r="O265" s="2">
        <v>45804</v>
      </c>
      <c r="P265" s="2">
        <v>46534</v>
      </c>
      <c r="Q265" t="s">
        <v>65</v>
      </c>
      <c r="R265" t="s">
        <v>86</v>
      </c>
      <c r="S265" t="s">
        <v>155</v>
      </c>
      <c r="T265" t="s">
        <v>571</v>
      </c>
      <c r="U265" t="s">
        <v>567</v>
      </c>
      <c r="V265" t="s">
        <v>57</v>
      </c>
      <c r="W265" t="s">
        <v>572</v>
      </c>
      <c r="X265" t="s">
        <v>573</v>
      </c>
      <c r="AA265" t="s">
        <v>159</v>
      </c>
      <c r="AB265" t="s">
        <v>65</v>
      </c>
      <c r="AC265">
        <v>850</v>
      </c>
      <c r="AD265" t="s">
        <v>69</v>
      </c>
      <c r="AE265">
        <v>61</v>
      </c>
      <c r="AH265">
        <v>35</v>
      </c>
      <c r="AP265" t="s">
        <v>163</v>
      </c>
      <c r="AQ265" t="s">
        <v>117</v>
      </c>
      <c r="AS265" t="s">
        <v>70</v>
      </c>
      <c r="AT265" t="s">
        <v>574</v>
      </c>
      <c r="AU265">
        <v>42</v>
      </c>
      <c r="AV265">
        <v>28</v>
      </c>
      <c r="AW265">
        <v>61</v>
      </c>
      <c r="AZ265">
        <v>222042</v>
      </c>
      <c r="BB265" t="s">
        <v>248</v>
      </c>
      <c r="BD265" t="s">
        <v>249</v>
      </c>
      <c r="BE265" t="s">
        <v>250</v>
      </c>
    </row>
    <row r="266" spans="1:57" x14ac:dyDescent="0.3">
      <c r="A266" s="7">
        <v>281</v>
      </c>
      <c r="B266" t="s">
        <v>504</v>
      </c>
      <c r="C266" t="s">
        <v>505</v>
      </c>
      <c r="D266" t="s">
        <v>575</v>
      </c>
      <c r="E266" t="s">
        <v>567</v>
      </c>
      <c r="F266" t="s">
        <v>576</v>
      </c>
      <c r="G266" t="s">
        <v>577</v>
      </c>
      <c r="H266" s="3">
        <v>39749</v>
      </c>
      <c r="I266" t="s">
        <v>578</v>
      </c>
      <c r="J266" t="s">
        <v>511</v>
      </c>
      <c r="K266" t="s">
        <v>512</v>
      </c>
      <c r="L266">
        <v>15005135639</v>
      </c>
      <c r="N266">
        <v>21</v>
      </c>
      <c r="O266" s="2">
        <v>45804</v>
      </c>
      <c r="P266" s="2">
        <v>46534</v>
      </c>
      <c r="Q266" t="s">
        <v>65</v>
      </c>
      <c r="R266" t="s">
        <v>86</v>
      </c>
      <c r="S266" t="s">
        <v>155</v>
      </c>
      <c r="T266" t="s">
        <v>579</v>
      </c>
      <c r="U266" t="s">
        <v>567</v>
      </c>
      <c r="V266" t="s">
        <v>57</v>
      </c>
      <c r="W266" t="s">
        <v>572</v>
      </c>
      <c r="X266" t="s">
        <v>573</v>
      </c>
      <c r="AA266" t="s">
        <v>159</v>
      </c>
      <c r="AB266" t="s">
        <v>65</v>
      </c>
      <c r="AC266">
        <v>850</v>
      </c>
      <c r="AD266" t="s">
        <v>69</v>
      </c>
      <c r="AE266">
        <v>61</v>
      </c>
      <c r="AH266">
        <v>35</v>
      </c>
      <c r="AP266" t="s">
        <v>163</v>
      </c>
      <c r="AQ266" t="s">
        <v>117</v>
      </c>
      <c r="AS266" t="s">
        <v>70</v>
      </c>
      <c r="AT266" t="s">
        <v>574</v>
      </c>
      <c r="AU266">
        <v>42</v>
      </c>
      <c r="AV266">
        <v>28</v>
      </c>
      <c r="AW266">
        <v>61</v>
      </c>
      <c r="AZ266">
        <v>222042</v>
      </c>
      <c r="BB266" t="s">
        <v>248</v>
      </c>
      <c r="BD266" t="s">
        <v>249</v>
      </c>
      <c r="BE266" t="s">
        <v>250</v>
      </c>
    </row>
    <row r="267" spans="1:57" x14ac:dyDescent="0.3">
      <c r="A267" s="7">
        <v>282</v>
      </c>
      <c r="B267" t="s">
        <v>504</v>
      </c>
      <c r="C267" t="s">
        <v>505</v>
      </c>
      <c r="D267" t="s">
        <v>580</v>
      </c>
      <c r="E267" t="s">
        <v>567</v>
      </c>
      <c r="F267" t="s">
        <v>576</v>
      </c>
      <c r="G267" t="s">
        <v>581</v>
      </c>
      <c r="I267" t="s">
        <v>582</v>
      </c>
      <c r="J267" t="s">
        <v>511</v>
      </c>
      <c r="K267" t="s">
        <v>512</v>
      </c>
      <c r="L267">
        <v>15005135639</v>
      </c>
      <c r="N267">
        <v>23</v>
      </c>
      <c r="O267" s="2">
        <v>45804</v>
      </c>
      <c r="P267" s="2">
        <v>46534</v>
      </c>
      <c r="Q267" t="s">
        <v>65</v>
      </c>
      <c r="R267" t="s">
        <v>86</v>
      </c>
      <c r="S267" t="s">
        <v>155</v>
      </c>
      <c r="T267" t="s">
        <v>583</v>
      </c>
      <c r="U267" t="s">
        <v>567</v>
      </c>
      <c r="V267" t="s">
        <v>57</v>
      </c>
      <c r="W267" t="s">
        <v>572</v>
      </c>
      <c r="X267" t="s">
        <v>573</v>
      </c>
      <c r="AA267" t="s">
        <v>159</v>
      </c>
      <c r="AB267" t="s">
        <v>65</v>
      </c>
      <c r="AC267">
        <v>850</v>
      </c>
      <c r="AD267" t="s">
        <v>69</v>
      </c>
      <c r="AE267">
        <v>61</v>
      </c>
      <c r="AH267">
        <v>35</v>
      </c>
      <c r="AP267" t="s">
        <v>163</v>
      </c>
      <c r="AQ267" t="s">
        <v>117</v>
      </c>
      <c r="AS267" t="s">
        <v>70</v>
      </c>
      <c r="AT267" t="s">
        <v>574</v>
      </c>
      <c r="AU267">
        <v>42</v>
      </c>
      <c r="AV267">
        <v>28</v>
      </c>
      <c r="AW267">
        <v>61</v>
      </c>
      <c r="AZ267">
        <v>222042</v>
      </c>
      <c r="BB267" t="s">
        <v>248</v>
      </c>
      <c r="BD267" t="s">
        <v>249</v>
      </c>
      <c r="BE267" t="s">
        <v>250</v>
      </c>
    </row>
    <row r="268" spans="1:57" x14ac:dyDescent="0.3">
      <c r="A268" s="7">
        <v>283</v>
      </c>
      <c r="B268" t="s">
        <v>504</v>
      </c>
      <c r="C268" t="s">
        <v>505</v>
      </c>
      <c r="D268" t="s">
        <v>584</v>
      </c>
      <c r="E268" t="s">
        <v>567</v>
      </c>
      <c r="F268" t="s">
        <v>576</v>
      </c>
      <c r="G268" t="s">
        <v>585</v>
      </c>
      <c r="I268" t="s">
        <v>586</v>
      </c>
      <c r="J268" t="s">
        <v>511</v>
      </c>
      <c r="K268" t="s">
        <v>512</v>
      </c>
      <c r="L268">
        <v>15005135639</v>
      </c>
      <c r="N268">
        <v>24</v>
      </c>
      <c r="O268" s="2">
        <v>45804</v>
      </c>
      <c r="P268" s="2">
        <v>46534</v>
      </c>
      <c r="Q268" t="s">
        <v>65</v>
      </c>
      <c r="R268" t="s">
        <v>86</v>
      </c>
      <c r="S268" t="s">
        <v>155</v>
      </c>
      <c r="T268" t="s">
        <v>587</v>
      </c>
      <c r="U268" t="s">
        <v>567</v>
      </c>
      <c r="V268" t="s">
        <v>57</v>
      </c>
      <c r="W268" t="s">
        <v>572</v>
      </c>
      <c r="X268" t="s">
        <v>573</v>
      </c>
      <c r="AA268" t="s">
        <v>159</v>
      </c>
      <c r="AB268" t="s">
        <v>65</v>
      </c>
      <c r="AC268">
        <v>850</v>
      </c>
      <c r="AD268" t="s">
        <v>69</v>
      </c>
      <c r="AE268">
        <v>61</v>
      </c>
      <c r="AH268">
        <v>35</v>
      </c>
      <c r="AP268" t="s">
        <v>163</v>
      </c>
      <c r="AQ268" t="s">
        <v>117</v>
      </c>
      <c r="AS268" t="s">
        <v>70</v>
      </c>
      <c r="AT268" t="s">
        <v>574</v>
      </c>
      <c r="AU268">
        <v>42</v>
      </c>
      <c r="AV268">
        <v>28</v>
      </c>
      <c r="AW268">
        <v>61</v>
      </c>
      <c r="AZ268">
        <v>222042</v>
      </c>
      <c r="BB268" t="s">
        <v>248</v>
      </c>
      <c r="BD268" t="s">
        <v>249</v>
      </c>
      <c r="BE268" t="s">
        <v>250</v>
      </c>
    </row>
    <row r="269" spans="1:57" x14ac:dyDescent="0.3">
      <c r="A269" s="7">
        <v>284</v>
      </c>
      <c r="B269" t="s">
        <v>504</v>
      </c>
      <c r="C269" t="s">
        <v>505</v>
      </c>
      <c r="D269" t="s">
        <v>599</v>
      </c>
      <c r="E269" t="s">
        <v>567</v>
      </c>
      <c r="F269" t="s">
        <v>589</v>
      </c>
      <c r="G269" t="s">
        <v>600</v>
      </c>
      <c r="H269" s="3">
        <v>39387</v>
      </c>
      <c r="I269" t="s">
        <v>269</v>
      </c>
      <c r="J269" t="s">
        <v>561</v>
      </c>
      <c r="K269" t="s">
        <v>512</v>
      </c>
      <c r="L269">
        <v>15005135639</v>
      </c>
      <c r="N269" t="s">
        <v>601</v>
      </c>
      <c r="O269" s="2">
        <v>45530</v>
      </c>
      <c r="P269" s="2">
        <v>46260</v>
      </c>
      <c r="Q269" t="s">
        <v>65</v>
      </c>
      <c r="R269" t="s">
        <v>86</v>
      </c>
      <c r="S269" t="s">
        <v>195</v>
      </c>
      <c r="T269" t="s">
        <v>602</v>
      </c>
      <c r="U269" t="s">
        <v>567</v>
      </c>
      <c r="V269" t="s">
        <v>57</v>
      </c>
      <c r="X269" t="s">
        <v>595</v>
      </c>
      <c r="Z269" t="s">
        <v>113</v>
      </c>
      <c r="AA269" t="s">
        <v>290</v>
      </c>
      <c r="AB269" t="s">
        <v>65</v>
      </c>
      <c r="AC269">
        <v>990</v>
      </c>
      <c r="AD269" t="s">
        <v>69</v>
      </c>
      <c r="AE269">
        <v>61</v>
      </c>
      <c r="AH269">
        <v>35</v>
      </c>
      <c r="AK269">
        <v>90</v>
      </c>
      <c r="AL269">
        <v>180</v>
      </c>
      <c r="AN269">
        <v>27</v>
      </c>
      <c r="AP269" t="s">
        <v>163</v>
      </c>
      <c r="AQ269" t="s">
        <v>117</v>
      </c>
      <c r="AS269" t="s">
        <v>597</v>
      </c>
      <c r="AT269" t="s">
        <v>598</v>
      </c>
      <c r="AU269">
        <f>-18-42</f>
        <v>-60</v>
      </c>
      <c r="AV269">
        <v>27</v>
      </c>
      <c r="AW269">
        <v>61</v>
      </c>
      <c r="AZ269">
        <v>222042</v>
      </c>
      <c r="BB269" t="s">
        <v>248</v>
      </c>
      <c r="BD269" t="s">
        <v>249</v>
      </c>
      <c r="BE269" t="s">
        <v>250</v>
      </c>
    </row>
    <row r="270" spans="1:57" x14ac:dyDescent="0.3">
      <c r="A270" s="7">
        <v>285</v>
      </c>
      <c r="B270" t="s">
        <v>504</v>
      </c>
      <c r="C270" t="s">
        <v>505</v>
      </c>
      <c r="D270" t="s">
        <v>603</v>
      </c>
      <c r="E270" t="s">
        <v>567</v>
      </c>
      <c r="F270" t="s">
        <v>576</v>
      </c>
      <c r="G270" t="s">
        <v>604</v>
      </c>
      <c r="I270" t="s">
        <v>605</v>
      </c>
      <c r="J270" t="s">
        <v>511</v>
      </c>
      <c r="K270" t="s">
        <v>512</v>
      </c>
      <c r="L270">
        <v>15005135639</v>
      </c>
      <c r="N270">
        <v>25</v>
      </c>
      <c r="O270" s="2">
        <v>45804</v>
      </c>
      <c r="P270" s="2">
        <v>46534</v>
      </c>
      <c r="Q270" t="s">
        <v>65</v>
      </c>
      <c r="R270" t="s">
        <v>86</v>
      </c>
      <c r="S270" t="s">
        <v>155</v>
      </c>
      <c r="T270" t="s">
        <v>606</v>
      </c>
      <c r="U270" t="s">
        <v>567</v>
      </c>
      <c r="V270" t="s">
        <v>57</v>
      </c>
      <c r="W270" t="s">
        <v>572</v>
      </c>
      <c r="X270" t="s">
        <v>573</v>
      </c>
      <c r="AA270" t="s">
        <v>159</v>
      </c>
      <c r="AB270" t="s">
        <v>65</v>
      </c>
      <c r="AC270">
        <v>850</v>
      </c>
      <c r="AD270" t="s">
        <v>69</v>
      </c>
      <c r="AE270">
        <v>61</v>
      </c>
      <c r="AH270">
        <v>35</v>
      </c>
      <c r="AP270" t="s">
        <v>163</v>
      </c>
      <c r="AQ270" t="s">
        <v>117</v>
      </c>
      <c r="AS270" t="s">
        <v>70</v>
      </c>
      <c r="AT270" t="s">
        <v>574</v>
      </c>
      <c r="AU270">
        <v>42</v>
      </c>
      <c r="AV270">
        <v>28</v>
      </c>
      <c r="AW270">
        <v>61</v>
      </c>
      <c r="AZ270">
        <v>222042</v>
      </c>
      <c r="BB270" t="s">
        <v>248</v>
      </c>
      <c r="BD270" t="s">
        <v>249</v>
      </c>
      <c r="BE270" t="s">
        <v>250</v>
      </c>
    </row>
    <row r="271" spans="1:57" x14ac:dyDescent="0.3">
      <c r="A271" s="7">
        <v>286</v>
      </c>
      <c r="B271" t="s">
        <v>504</v>
      </c>
      <c r="C271" t="s">
        <v>505</v>
      </c>
      <c r="D271" t="s">
        <v>607</v>
      </c>
      <c r="E271" t="s">
        <v>557</v>
      </c>
      <c r="F271" t="s">
        <v>608</v>
      </c>
      <c r="G271" t="s">
        <v>609</v>
      </c>
      <c r="I271" t="s">
        <v>560</v>
      </c>
      <c r="J271" t="s">
        <v>561</v>
      </c>
      <c r="K271" t="s">
        <v>512</v>
      </c>
      <c r="L271">
        <v>15005135639</v>
      </c>
      <c r="N271">
        <v>5</v>
      </c>
      <c r="O271" s="2">
        <v>45804</v>
      </c>
      <c r="P271" s="2">
        <v>46169</v>
      </c>
      <c r="Q271" t="s">
        <v>65</v>
      </c>
      <c r="R271" t="s">
        <v>86</v>
      </c>
      <c r="S271" t="s">
        <v>155</v>
      </c>
      <c r="T271" t="s">
        <v>610</v>
      </c>
      <c r="U271" t="s">
        <v>557</v>
      </c>
      <c r="V271" t="s">
        <v>57</v>
      </c>
      <c r="W271" t="s">
        <v>563</v>
      </c>
      <c r="X271" t="s">
        <v>564</v>
      </c>
      <c r="Z271" t="s">
        <v>113</v>
      </c>
      <c r="AA271" t="s">
        <v>159</v>
      </c>
      <c r="AB271" t="s">
        <v>65</v>
      </c>
      <c r="AC271">
        <v>815</v>
      </c>
      <c r="AD271" t="s">
        <v>69</v>
      </c>
      <c r="AE271">
        <v>45</v>
      </c>
      <c r="AF271">
        <v>136</v>
      </c>
      <c r="AK271">
        <v>2.17</v>
      </c>
      <c r="AP271" t="s">
        <v>93</v>
      </c>
      <c r="AS271" t="s">
        <v>611</v>
      </c>
      <c r="AT271">
        <v>2.17</v>
      </c>
      <c r="AU271">
        <v>7</v>
      </c>
      <c r="AW271">
        <v>45</v>
      </c>
      <c r="AZ271">
        <v>222042</v>
      </c>
    </row>
    <row r="272" spans="1:57" x14ac:dyDescent="0.3">
      <c r="A272" s="7">
        <v>287</v>
      </c>
      <c r="B272" t="s">
        <v>504</v>
      </c>
      <c r="C272" t="s">
        <v>505</v>
      </c>
      <c r="D272" t="s">
        <v>612</v>
      </c>
      <c r="E272" t="s">
        <v>557</v>
      </c>
      <c r="F272" t="s">
        <v>608</v>
      </c>
      <c r="G272" t="s">
        <v>613</v>
      </c>
      <c r="I272" t="s">
        <v>560</v>
      </c>
      <c r="J272" t="s">
        <v>561</v>
      </c>
      <c r="K272" t="s">
        <v>512</v>
      </c>
      <c r="L272">
        <v>15005135639</v>
      </c>
      <c r="N272">
        <v>6</v>
      </c>
      <c r="O272" s="2">
        <v>45804</v>
      </c>
      <c r="P272" s="2">
        <v>46169</v>
      </c>
      <c r="Q272" t="s">
        <v>65</v>
      </c>
      <c r="R272" t="s">
        <v>86</v>
      </c>
      <c r="S272" t="s">
        <v>155</v>
      </c>
      <c r="T272" t="s">
        <v>614</v>
      </c>
      <c r="U272" t="s">
        <v>557</v>
      </c>
      <c r="V272" t="s">
        <v>57</v>
      </c>
      <c r="W272" t="s">
        <v>563</v>
      </c>
      <c r="X272" t="s">
        <v>564</v>
      </c>
      <c r="Z272" t="s">
        <v>113</v>
      </c>
      <c r="AA272" t="s">
        <v>159</v>
      </c>
      <c r="AB272" t="s">
        <v>65</v>
      </c>
      <c r="AC272">
        <v>815</v>
      </c>
      <c r="AD272" t="s">
        <v>69</v>
      </c>
      <c r="AE272">
        <v>45</v>
      </c>
      <c r="AF272">
        <v>136</v>
      </c>
      <c r="AK272">
        <v>2.17</v>
      </c>
      <c r="AP272" t="s">
        <v>93</v>
      </c>
      <c r="AS272" t="s">
        <v>611</v>
      </c>
      <c r="AT272">
        <v>2.17</v>
      </c>
      <c r="AU272">
        <v>7</v>
      </c>
      <c r="AW272">
        <v>45</v>
      </c>
      <c r="AZ272">
        <v>222042</v>
      </c>
    </row>
    <row r="273" spans="1:57" x14ac:dyDescent="0.3">
      <c r="A273" s="7">
        <v>288</v>
      </c>
      <c r="B273" t="s">
        <v>504</v>
      </c>
      <c r="C273" t="s">
        <v>505</v>
      </c>
      <c r="D273" t="s">
        <v>615</v>
      </c>
      <c r="E273" t="s">
        <v>567</v>
      </c>
      <c r="F273" t="s">
        <v>589</v>
      </c>
      <c r="G273" t="s">
        <v>616</v>
      </c>
      <c r="H273" s="3">
        <v>39387</v>
      </c>
      <c r="I273" t="s">
        <v>269</v>
      </c>
      <c r="J273" t="s">
        <v>561</v>
      </c>
      <c r="K273" t="s">
        <v>512</v>
      </c>
      <c r="L273">
        <v>15005135639</v>
      </c>
      <c r="N273" t="s">
        <v>617</v>
      </c>
      <c r="O273" s="2">
        <v>45530</v>
      </c>
      <c r="P273" s="2">
        <v>46260</v>
      </c>
      <c r="Q273" t="s">
        <v>65</v>
      </c>
      <c r="R273" t="s">
        <v>86</v>
      </c>
      <c r="S273" t="s">
        <v>195</v>
      </c>
      <c r="T273" t="s">
        <v>618</v>
      </c>
      <c r="U273" t="s">
        <v>567</v>
      </c>
      <c r="V273" t="s">
        <v>57</v>
      </c>
      <c r="X273" t="s">
        <v>595</v>
      </c>
      <c r="Z273" t="s">
        <v>113</v>
      </c>
      <c r="AA273" t="s">
        <v>290</v>
      </c>
      <c r="AB273" t="s">
        <v>65</v>
      </c>
      <c r="AC273">
        <v>990</v>
      </c>
      <c r="AD273" t="s">
        <v>69</v>
      </c>
      <c r="AE273">
        <v>61</v>
      </c>
      <c r="AH273">
        <v>35</v>
      </c>
      <c r="AK273">
        <v>90</v>
      </c>
      <c r="AL273">
        <v>180</v>
      </c>
      <c r="AN273">
        <v>27</v>
      </c>
      <c r="AP273" t="s">
        <v>163</v>
      </c>
      <c r="AQ273" t="s">
        <v>117</v>
      </c>
      <c r="AS273" t="s">
        <v>597</v>
      </c>
      <c r="AT273" t="s">
        <v>598</v>
      </c>
      <c r="AU273">
        <f>-18-42</f>
        <v>-60</v>
      </c>
      <c r="AV273">
        <v>27</v>
      </c>
      <c r="AW273">
        <v>61</v>
      </c>
      <c r="AZ273">
        <v>222042</v>
      </c>
      <c r="BB273" t="s">
        <v>248</v>
      </c>
      <c r="BD273" t="s">
        <v>619</v>
      </c>
      <c r="BE273" t="s">
        <v>250</v>
      </c>
    </row>
    <row r="274" spans="1:57" x14ac:dyDescent="0.3">
      <c r="A274" s="7">
        <v>289</v>
      </c>
      <c r="B274" t="s">
        <v>504</v>
      </c>
      <c r="C274" t="s">
        <v>505</v>
      </c>
      <c r="D274" t="s">
        <v>620</v>
      </c>
      <c r="E274" t="s">
        <v>567</v>
      </c>
      <c r="F274" t="s">
        <v>589</v>
      </c>
      <c r="G274" t="s">
        <v>621</v>
      </c>
      <c r="H274" s="3">
        <v>39387</v>
      </c>
      <c r="I274" t="s">
        <v>269</v>
      </c>
      <c r="J274" t="s">
        <v>561</v>
      </c>
      <c r="K274" t="s">
        <v>512</v>
      </c>
      <c r="L274">
        <v>15005135639</v>
      </c>
      <c r="N274" t="s">
        <v>622</v>
      </c>
      <c r="O274" s="2">
        <v>45530</v>
      </c>
      <c r="P274" s="2">
        <v>46260</v>
      </c>
      <c r="Q274" t="s">
        <v>65</v>
      </c>
      <c r="R274" t="s">
        <v>86</v>
      </c>
      <c r="S274" t="s">
        <v>195</v>
      </c>
      <c r="T274" t="s">
        <v>623</v>
      </c>
      <c r="U274" t="s">
        <v>567</v>
      </c>
      <c r="V274" t="s">
        <v>57</v>
      </c>
      <c r="X274" t="s">
        <v>595</v>
      </c>
      <c r="Z274" t="s">
        <v>113</v>
      </c>
      <c r="AA274" t="s">
        <v>290</v>
      </c>
      <c r="AB274" t="s">
        <v>65</v>
      </c>
      <c r="AC274">
        <v>990</v>
      </c>
      <c r="AD274" t="s">
        <v>69</v>
      </c>
      <c r="AE274">
        <v>61</v>
      </c>
      <c r="AH274">
        <v>35</v>
      </c>
      <c r="AK274">
        <v>90</v>
      </c>
      <c r="AL274">
        <v>180</v>
      </c>
      <c r="AN274">
        <v>27</v>
      </c>
      <c r="AP274" t="s">
        <v>163</v>
      </c>
      <c r="AQ274" t="s">
        <v>117</v>
      </c>
      <c r="AS274" t="s">
        <v>597</v>
      </c>
      <c r="AT274" t="s">
        <v>598</v>
      </c>
      <c r="AU274">
        <f>-18-42</f>
        <v>-60</v>
      </c>
      <c r="AV274">
        <v>27</v>
      </c>
      <c r="AW274">
        <v>61</v>
      </c>
      <c r="AZ274">
        <v>222042</v>
      </c>
      <c r="BB274" t="s">
        <v>248</v>
      </c>
      <c r="BD274" t="s">
        <v>624</v>
      </c>
      <c r="BE274" t="s">
        <v>250</v>
      </c>
    </row>
    <row r="275" spans="1:57" x14ac:dyDescent="0.3">
      <c r="A275" s="7">
        <v>290</v>
      </c>
      <c r="B275" t="s">
        <v>504</v>
      </c>
      <c r="C275" t="s">
        <v>505</v>
      </c>
      <c r="D275" t="s">
        <v>659</v>
      </c>
      <c r="E275" t="s">
        <v>507</v>
      </c>
      <c r="F275" t="s">
        <v>632</v>
      </c>
      <c r="G275" t="s">
        <v>660</v>
      </c>
      <c r="H275" s="3">
        <v>39814</v>
      </c>
      <c r="I275" t="s">
        <v>634</v>
      </c>
      <c r="J275" t="s">
        <v>549</v>
      </c>
      <c r="K275" t="s">
        <v>640</v>
      </c>
      <c r="L275">
        <v>15005135639</v>
      </c>
      <c r="N275" t="s">
        <v>661</v>
      </c>
      <c r="O275" s="2">
        <v>45399</v>
      </c>
      <c r="P275" s="2">
        <v>46128</v>
      </c>
      <c r="Q275" t="s">
        <v>65</v>
      </c>
      <c r="R275" t="s">
        <v>86</v>
      </c>
      <c r="S275" t="s">
        <v>87</v>
      </c>
      <c r="T275" t="s">
        <v>662</v>
      </c>
      <c r="U275" t="s">
        <v>507</v>
      </c>
      <c r="V275" t="s">
        <v>57</v>
      </c>
      <c r="W275" t="s">
        <v>243</v>
      </c>
      <c r="X275" t="s">
        <v>640</v>
      </c>
      <c r="Y275">
        <v>13305131386</v>
      </c>
      <c r="AA275" t="s">
        <v>159</v>
      </c>
      <c r="AB275" t="s">
        <v>65</v>
      </c>
      <c r="AC275">
        <v>650</v>
      </c>
      <c r="AD275" t="s">
        <v>69</v>
      </c>
      <c r="AE275">
        <v>41</v>
      </c>
      <c r="AH275">
        <v>23.47</v>
      </c>
      <c r="AK275">
        <v>24</v>
      </c>
      <c r="AP275" t="s">
        <v>163</v>
      </c>
      <c r="AQ275" t="s">
        <v>117</v>
      </c>
      <c r="AS275" t="s">
        <v>642</v>
      </c>
      <c r="AT275">
        <v>24</v>
      </c>
      <c r="AU275">
        <v>18.2</v>
      </c>
      <c r="AV275">
        <v>28</v>
      </c>
      <c r="AW275">
        <v>41</v>
      </c>
      <c r="AZ275">
        <v>222042</v>
      </c>
      <c r="BB275" t="s">
        <v>248</v>
      </c>
    </row>
    <row r="276" spans="1:57" x14ac:dyDescent="0.3">
      <c r="A276" s="7">
        <v>291</v>
      </c>
      <c r="B276" t="s">
        <v>504</v>
      </c>
      <c r="C276" t="s">
        <v>505</v>
      </c>
      <c r="D276" t="s">
        <v>663</v>
      </c>
      <c r="E276" t="s">
        <v>507</v>
      </c>
      <c r="F276" t="s">
        <v>632</v>
      </c>
      <c r="G276" t="s">
        <v>664</v>
      </c>
      <c r="H276" s="3">
        <v>39814</v>
      </c>
      <c r="I276" t="s">
        <v>634</v>
      </c>
      <c r="J276" t="s">
        <v>549</v>
      </c>
      <c r="K276" t="s">
        <v>640</v>
      </c>
      <c r="L276">
        <v>15005135639</v>
      </c>
      <c r="N276" t="s">
        <v>665</v>
      </c>
      <c r="O276" s="2">
        <v>45399</v>
      </c>
      <c r="P276" s="2">
        <v>46128</v>
      </c>
      <c r="Q276" t="s">
        <v>65</v>
      </c>
      <c r="R276" t="s">
        <v>86</v>
      </c>
      <c r="S276" t="s">
        <v>87</v>
      </c>
      <c r="T276" t="s">
        <v>666</v>
      </c>
      <c r="U276" t="s">
        <v>507</v>
      </c>
      <c r="V276" t="s">
        <v>57</v>
      </c>
      <c r="W276" t="s">
        <v>243</v>
      </c>
      <c r="X276" t="s">
        <v>640</v>
      </c>
      <c r="Y276">
        <v>13305131386</v>
      </c>
      <c r="AA276" t="s">
        <v>159</v>
      </c>
      <c r="AB276" t="s">
        <v>65</v>
      </c>
      <c r="AC276">
        <v>650</v>
      </c>
      <c r="AD276" t="s">
        <v>69</v>
      </c>
      <c r="AE276">
        <v>41</v>
      </c>
      <c r="AH276">
        <v>23.47</v>
      </c>
      <c r="AK276">
        <v>24</v>
      </c>
      <c r="AP276" t="s">
        <v>163</v>
      </c>
      <c r="AQ276" t="s">
        <v>117</v>
      </c>
      <c r="AS276" t="s">
        <v>642</v>
      </c>
      <c r="AT276">
        <v>24</v>
      </c>
      <c r="AU276">
        <v>18.2</v>
      </c>
      <c r="AV276">
        <v>28</v>
      </c>
      <c r="AW276">
        <v>41</v>
      </c>
      <c r="AZ276">
        <v>222042</v>
      </c>
      <c r="BB276" t="s">
        <v>248</v>
      </c>
    </row>
    <row r="277" spans="1:57" x14ac:dyDescent="0.3">
      <c r="A277" s="7">
        <v>292</v>
      </c>
      <c r="B277" t="s">
        <v>504</v>
      </c>
      <c r="C277" t="s">
        <v>505</v>
      </c>
      <c r="D277" t="s">
        <v>682</v>
      </c>
      <c r="E277" t="s">
        <v>557</v>
      </c>
      <c r="F277" t="s">
        <v>558</v>
      </c>
      <c r="G277" t="s">
        <v>683</v>
      </c>
      <c r="I277" t="s">
        <v>560</v>
      </c>
      <c r="J277" t="s">
        <v>561</v>
      </c>
      <c r="K277" t="s">
        <v>640</v>
      </c>
      <c r="L277">
        <v>15005135639</v>
      </c>
      <c r="N277">
        <v>2</v>
      </c>
      <c r="O277" s="2">
        <v>45804</v>
      </c>
      <c r="P277" s="2">
        <v>46169</v>
      </c>
      <c r="Q277" t="s">
        <v>65</v>
      </c>
      <c r="R277" t="s">
        <v>86</v>
      </c>
      <c r="S277" t="s">
        <v>155</v>
      </c>
      <c r="T277" t="s">
        <v>684</v>
      </c>
      <c r="U277" t="s">
        <v>557</v>
      </c>
      <c r="V277" t="s">
        <v>57</v>
      </c>
      <c r="W277" t="s">
        <v>563</v>
      </c>
      <c r="X277" t="s">
        <v>564</v>
      </c>
      <c r="Z277" t="s">
        <v>113</v>
      </c>
      <c r="AA277" t="s">
        <v>159</v>
      </c>
      <c r="AB277" t="s">
        <v>65</v>
      </c>
      <c r="AC277">
        <v>815</v>
      </c>
      <c r="AD277" t="s">
        <v>69</v>
      </c>
      <c r="AE277">
        <v>45</v>
      </c>
      <c r="AF277">
        <v>136</v>
      </c>
      <c r="AK277">
        <v>2.17</v>
      </c>
      <c r="AP277" t="s">
        <v>93</v>
      </c>
      <c r="AS277" t="s">
        <v>565</v>
      </c>
      <c r="AT277">
        <v>2.17</v>
      </c>
      <c r="AU277">
        <v>7</v>
      </c>
      <c r="AW277">
        <v>45</v>
      </c>
      <c r="AZ277">
        <v>222042</v>
      </c>
    </row>
    <row r="278" spans="1:57" x14ac:dyDescent="0.3">
      <c r="A278" s="7">
        <v>293</v>
      </c>
      <c r="B278" t="s">
        <v>504</v>
      </c>
      <c r="C278" t="s">
        <v>505</v>
      </c>
      <c r="D278" t="s">
        <v>685</v>
      </c>
      <c r="E278" t="s">
        <v>507</v>
      </c>
      <c r="F278" t="s">
        <v>632</v>
      </c>
      <c r="G278" t="s">
        <v>686</v>
      </c>
      <c r="H278" s="3">
        <v>39814</v>
      </c>
      <c r="I278" t="s">
        <v>634</v>
      </c>
      <c r="J278" t="s">
        <v>549</v>
      </c>
      <c r="K278" t="s">
        <v>640</v>
      </c>
      <c r="L278">
        <v>15005135639</v>
      </c>
      <c r="N278" t="s">
        <v>687</v>
      </c>
      <c r="O278" s="2">
        <v>45399</v>
      </c>
      <c r="P278" s="2">
        <v>46128</v>
      </c>
      <c r="Q278" t="s">
        <v>65</v>
      </c>
      <c r="R278" t="s">
        <v>86</v>
      </c>
      <c r="S278" t="s">
        <v>87</v>
      </c>
      <c r="T278" t="s">
        <v>688</v>
      </c>
      <c r="U278" t="s">
        <v>507</v>
      </c>
      <c r="V278" t="s">
        <v>57</v>
      </c>
      <c r="W278" t="s">
        <v>243</v>
      </c>
      <c r="X278" t="s">
        <v>640</v>
      </c>
      <c r="Y278">
        <v>13305131386</v>
      </c>
      <c r="AA278" t="s">
        <v>159</v>
      </c>
      <c r="AB278" t="s">
        <v>65</v>
      </c>
      <c r="AC278">
        <v>650</v>
      </c>
      <c r="AD278" t="s">
        <v>69</v>
      </c>
      <c r="AE278">
        <v>41</v>
      </c>
      <c r="AH278">
        <v>23.47</v>
      </c>
      <c r="AK278">
        <v>24</v>
      </c>
      <c r="AP278" t="s">
        <v>163</v>
      </c>
      <c r="AQ278" t="s">
        <v>117</v>
      </c>
      <c r="AS278" t="s">
        <v>642</v>
      </c>
      <c r="AT278">
        <v>24</v>
      </c>
      <c r="AU278">
        <v>18.2</v>
      </c>
      <c r="AV278">
        <v>28</v>
      </c>
      <c r="AW278">
        <v>41</v>
      </c>
      <c r="AZ278">
        <v>222042</v>
      </c>
      <c r="BB278" t="s">
        <v>248</v>
      </c>
    </row>
    <row r="279" spans="1:57" x14ac:dyDescent="0.3">
      <c r="A279" s="7">
        <v>294</v>
      </c>
      <c r="B279" t="s">
        <v>504</v>
      </c>
      <c r="C279" t="s">
        <v>505</v>
      </c>
      <c r="D279" t="s">
        <v>689</v>
      </c>
      <c r="E279" t="s">
        <v>557</v>
      </c>
      <c r="F279" t="s">
        <v>690</v>
      </c>
      <c r="G279" t="s">
        <v>691</v>
      </c>
      <c r="H279" s="3">
        <v>43411</v>
      </c>
      <c r="I279" t="s">
        <v>216</v>
      </c>
      <c r="J279" t="s">
        <v>549</v>
      </c>
      <c r="K279" t="s">
        <v>640</v>
      </c>
      <c r="L279">
        <v>15005135639</v>
      </c>
      <c r="N279" t="s">
        <v>83</v>
      </c>
      <c r="O279" s="2">
        <v>45804</v>
      </c>
      <c r="P279" s="2">
        <v>46169</v>
      </c>
      <c r="Q279" t="s">
        <v>65</v>
      </c>
      <c r="R279" t="s">
        <v>86</v>
      </c>
      <c r="S279" t="s">
        <v>155</v>
      </c>
      <c r="T279" t="s">
        <v>692</v>
      </c>
      <c r="V279" t="s">
        <v>57</v>
      </c>
      <c r="W279" t="s">
        <v>184</v>
      </c>
      <c r="X279" t="s">
        <v>640</v>
      </c>
      <c r="Y279">
        <v>15151262157</v>
      </c>
      <c r="Z279" t="s">
        <v>113</v>
      </c>
      <c r="AA279" t="s">
        <v>159</v>
      </c>
      <c r="AB279" t="s">
        <v>65</v>
      </c>
      <c r="AC279">
        <v>815</v>
      </c>
      <c r="AD279" t="s">
        <v>69</v>
      </c>
      <c r="AE279">
        <v>45</v>
      </c>
      <c r="AF279">
        <v>88.5</v>
      </c>
      <c r="AK279">
        <v>0.42</v>
      </c>
      <c r="AL279">
        <v>0.25</v>
      </c>
      <c r="AP279" t="s">
        <v>163</v>
      </c>
      <c r="AS279" t="s">
        <v>565</v>
      </c>
      <c r="AT279" t="s">
        <v>693</v>
      </c>
      <c r="AU279">
        <v>15.1</v>
      </c>
      <c r="AW279">
        <v>45</v>
      </c>
      <c r="AZ279">
        <v>222042</v>
      </c>
    </row>
    <row r="280" spans="1:57" x14ac:dyDescent="0.3">
      <c r="A280" s="7">
        <v>295</v>
      </c>
      <c r="B280" t="s">
        <v>504</v>
      </c>
      <c r="C280" t="s">
        <v>505</v>
      </c>
      <c r="D280" t="s">
        <v>694</v>
      </c>
      <c r="E280" t="s">
        <v>507</v>
      </c>
      <c r="F280" t="s">
        <v>695</v>
      </c>
      <c r="G280">
        <v>15022</v>
      </c>
      <c r="H280" s="3">
        <v>42675</v>
      </c>
      <c r="I280" t="s">
        <v>696</v>
      </c>
      <c r="J280" t="s">
        <v>511</v>
      </c>
      <c r="K280" t="s">
        <v>512</v>
      </c>
      <c r="L280">
        <v>15005135639</v>
      </c>
      <c r="N280" t="s">
        <v>697</v>
      </c>
      <c r="O280" s="2">
        <v>45804</v>
      </c>
      <c r="P280" s="2">
        <v>46534</v>
      </c>
      <c r="Q280" t="s">
        <v>65</v>
      </c>
      <c r="R280" t="s">
        <v>86</v>
      </c>
      <c r="S280" t="s">
        <v>155</v>
      </c>
      <c r="T280" t="s">
        <v>698</v>
      </c>
      <c r="U280" t="s">
        <v>507</v>
      </c>
      <c r="V280" t="s">
        <v>57</v>
      </c>
      <c r="W280" t="s">
        <v>322</v>
      </c>
      <c r="X280" t="s">
        <v>564</v>
      </c>
      <c r="Y280" t="s">
        <v>699</v>
      </c>
      <c r="AA280" t="s">
        <v>159</v>
      </c>
      <c r="AB280" t="s">
        <v>65</v>
      </c>
      <c r="AC280">
        <v>650</v>
      </c>
      <c r="AD280" t="s">
        <v>69</v>
      </c>
      <c r="AE280">
        <v>41</v>
      </c>
      <c r="AF280">
        <v>384</v>
      </c>
      <c r="AH280">
        <v>23.47</v>
      </c>
      <c r="AK280">
        <v>0.9</v>
      </c>
      <c r="AP280" t="s">
        <v>163</v>
      </c>
      <c r="AQ280" t="s">
        <v>117</v>
      </c>
      <c r="AS280" t="s">
        <v>700</v>
      </c>
      <c r="AT280" t="s">
        <v>701</v>
      </c>
      <c r="AU280">
        <v>18.2</v>
      </c>
      <c r="AV280">
        <v>28</v>
      </c>
      <c r="AW280">
        <v>41</v>
      </c>
      <c r="AZ280">
        <v>222042</v>
      </c>
      <c r="BB280" t="s">
        <v>248</v>
      </c>
      <c r="BD280" t="s">
        <v>249</v>
      </c>
      <c r="BE280" t="s">
        <v>250</v>
      </c>
    </row>
    <row r="281" spans="1:57" x14ac:dyDescent="0.3">
      <c r="A281" s="7">
        <v>296</v>
      </c>
      <c r="B281" t="s">
        <v>504</v>
      </c>
      <c r="C281" t="s">
        <v>505</v>
      </c>
      <c r="D281" t="s">
        <v>702</v>
      </c>
      <c r="E281" t="s">
        <v>507</v>
      </c>
      <c r="F281" t="s">
        <v>695</v>
      </c>
      <c r="G281">
        <v>15021</v>
      </c>
      <c r="H281" s="3">
        <v>42675</v>
      </c>
      <c r="I281" t="s">
        <v>696</v>
      </c>
      <c r="J281" t="s">
        <v>561</v>
      </c>
      <c r="K281" t="s">
        <v>512</v>
      </c>
      <c r="L281">
        <v>15005135639</v>
      </c>
      <c r="N281" t="s">
        <v>703</v>
      </c>
      <c r="O281" s="2">
        <v>45804</v>
      </c>
      <c r="P281" s="2">
        <v>46534</v>
      </c>
      <c r="Q281" t="s">
        <v>65</v>
      </c>
      <c r="R281" t="s">
        <v>86</v>
      </c>
      <c r="S281" t="s">
        <v>155</v>
      </c>
      <c r="T281" t="s">
        <v>704</v>
      </c>
      <c r="U281" t="s">
        <v>507</v>
      </c>
      <c r="V281" t="s">
        <v>57</v>
      </c>
      <c r="W281" t="s">
        <v>322</v>
      </c>
      <c r="X281" t="s">
        <v>564</v>
      </c>
      <c r="Y281" t="s">
        <v>512</v>
      </c>
      <c r="AA281" t="s">
        <v>159</v>
      </c>
      <c r="AB281" t="s">
        <v>65</v>
      </c>
      <c r="AC281">
        <v>650</v>
      </c>
      <c r="AD281" t="s">
        <v>69</v>
      </c>
      <c r="AE281">
        <v>41</v>
      </c>
      <c r="AF281">
        <v>384</v>
      </c>
      <c r="AH281">
        <v>23.47</v>
      </c>
      <c r="AK281">
        <v>0.9</v>
      </c>
      <c r="AP281" t="s">
        <v>163</v>
      </c>
      <c r="AQ281" t="s">
        <v>117</v>
      </c>
      <c r="AS281" t="s">
        <v>700</v>
      </c>
      <c r="AT281" t="s">
        <v>701</v>
      </c>
      <c r="AU281">
        <v>18.2</v>
      </c>
      <c r="AV281">
        <v>28</v>
      </c>
      <c r="AW281">
        <v>41</v>
      </c>
      <c r="AZ281">
        <v>222042</v>
      </c>
      <c r="BB281" t="s">
        <v>248</v>
      </c>
      <c r="BD281" t="s">
        <v>249</v>
      </c>
      <c r="BE281" t="s">
        <v>250</v>
      </c>
    </row>
    <row r="282" spans="1:57" x14ac:dyDescent="0.3">
      <c r="A282" s="7">
        <v>297</v>
      </c>
      <c r="B282" t="s">
        <v>504</v>
      </c>
      <c r="C282" t="s">
        <v>505</v>
      </c>
      <c r="D282" t="s">
        <v>706</v>
      </c>
      <c r="E282" t="s">
        <v>507</v>
      </c>
      <c r="F282" t="s">
        <v>695</v>
      </c>
      <c r="G282">
        <v>15024</v>
      </c>
      <c r="H282" s="3">
        <v>42675</v>
      </c>
      <c r="I282" t="s">
        <v>696</v>
      </c>
      <c r="J282" t="s">
        <v>511</v>
      </c>
      <c r="K282" t="s">
        <v>512</v>
      </c>
      <c r="L282">
        <v>15005135639</v>
      </c>
      <c r="N282" t="s">
        <v>705</v>
      </c>
      <c r="O282" s="2">
        <v>45804</v>
      </c>
      <c r="P282" s="2">
        <v>46534</v>
      </c>
      <c r="Q282" t="s">
        <v>65</v>
      </c>
      <c r="R282" t="s">
        <v>86</v>
      </c>
      <c r="S282" t="s">
        <v>155</v>
      </c>
      <c r="T282" t="s">
        <v>707</v>
      </c>
      <c r="U282" t="s">
        <v>507</v>
      </c>
      <c r="V282" t="s">
        <v>57</v>
      </c>
      <c r="W282" t="s">
        <v>322</v>
      </c>
      <c r="X282" t="s">
        <v>564</v>
      </c>
      <c r="Y282">
        <v>13511565240</v>
      </c>
      <c r="AA282" t="s">
        <v>159</v>
      </c>
      <c r="AB282" t="s">
        <v>65</v>
      </c>
      <c r="AC282">
        <v>650</v>
      </c>
      <c r="AD282" t="s">
        <v>69</v>
      </c>
      <c r="AE282">
        <v>41</v>
      </c>
      <c r="AF282">
        <v>384</v>
      </c>
      <c r="AH282">
        <v>23.47</v>
      </c>
      <c r="AK282">
        <v>0.9</v>
      </c>
      <c r="AP282" t="s">
        <v>163</v>
      </c>
      <c r="AQ282" t="s">
        <v>117</v>
      </c>
      <c r="AS282" t="s">
        <v>700</v>
      </c>
      <c r="AT282" t="s">
        <v>701</v>
      </c>
      <c r="AU282">
        <v>18.2</v>
      </c>
      <c r="AV282">
        <v>28</v>
      </c>
      <c r="AW282">
        <v>41</v>
      </c>
      <c r="AZ282">
        <v>222042</v>
      </c>
      <c r="BB282" t="s">
        <v>248</v>
      </c>
      <c r="BD282" t="s">
        <v>249</v>
      </c>
      <c r="BE282" t="s">
        <v>250</v>
      </c>
    </row>
    <row r="283" spans="1:57" x14ac:dyDescent="0.3">
      <c r="A283" s="7">
        <v>298</v>
      </c>
      <c r="B283" t="s">
        <v>504</v>
      </c>
      <c r="C283" t="s">
        <v>505</v>
      </c>
      <c r="D283" t="s">
        <v>708</v>
      </c>
      <c r="E283" t="s">
        <v>214</v>
      </c>
      <c r="F283" t="s">
        <v>341</v>
      </c>
      <c r="G283">
        <v>1010423</v>
      </c>
      <c r="I283" t="s">
        <v>560</v>
      </c>
      <c r="J283" t="s">
        <v>511</v>
      </c>
      <c r="K283" t="s">
        <v>512</v>
      </c>
      <c r="L283">
        <v>15005135639</v>
      </c>
      <c r="M283">
        <v>15005135639</v>
      </c>
      <c r="N283" t="s">
        <v>83</v>
      </c>
      <c r="O283" s="2">
        <v>45804</v>
      </c>
      <c r="P283" s="2">
        <v>46169</v>
      </c>
      <c r="Q283" t="s">
        <v>65</v>
      </c>
      <c r="R283" t="s">
        <v>86</v>
      </c>
      <c r="S283" t="s">
        <v>155</v>
      </c>
      <c r="T283" t="s">
        <v>709</v>
      </c>
      <c r="U283" t="s">
        <v>214</v>
      </c>
      <c r="V283" t="s">
        <v>57</v>
      </c>
      <c r="X283" t="s">
        <v>595</v>
      </c>
      <c r="Z283" t="s">
        <v>113</v>
      </c>
      <c r="AA283" t="s">
        <v>159</v>
      </c>
      <c r="AB283" t="s">
        <v>65</v>
      </c>
      <c r="AC283">
        <v>515</v>
      </c>
      <c r="AD283" t="s">
        <v>69</v>
      </c>
      <c r="AE283">
        <v>25</v>
      </c>
      <c r="AF283">
        <v>99</v>
      </c>
      <c r="AK283">
        <v>1.75</v>
      </c>
      <c r="AN283">
        <v>17</v>
      </c>
      <c r="AP283" t="s">
        <v>163</v>
      </c>
      <c r="AS283" t="s">
        <v>344</v>
      </c>
      <c r="AT283">
        <v>1.75</v>
      </c>
      <c r="AU283">
        <v>18</v>
      </c>
      <c r="AV283">
        <v>17</v>
      </c>
      <c r="AW283">
        <v>25</v>
      </c>
      <c r="AZ283">
        <v>222042</v>
      </c>
    </row>
    <row r="284" spans="1:57" x14ac:dyDescent="0.3">
      <c r="A284" s="7">
        <v>299</v>
      </c>
      <c r="B284" t="s">
        <v>504</v>
      </c>
      <c r="C284" t="s">
        <v>505</v>
      </c>
      <c r="D284" t="s">
        <v>631</v>
      </c>
      <c r="E284" t="s">
        <v>507</v>
      </c>
      <c r="F284" t="s">
        <v>632</v>
      </c>
      <c r="G284" t="s">
        <v>633</v>
      </c>
      <c r="H284" s="3">
        <v>39814</v>
      </c>
      <c r="I284" t="s">
        <v>634</v>
      </c>
      <c r="J284" t="s">
        <v>635</v>
      </c>
      <c r="K284" t="s">
        <v>636</v>
      </c>
      <c r="L284">
        <v>18036602125</v>
      </c>
      <c r="N284" t="s">
        <v>637</v>
      </c>
      <c r="O284" s="2">
        <v>45399</v>
      </c>
      <c r="P284" s="2">
        <v>46128</v>
      </c>
      <c r="Q284" t="s">
        <v>65</v>
      </c>
      <c r="R284" t="s">
        <v>638</v>
      </c>
      <c r="S284" t="s">
        <v>87</v>
      </c>
      <c r="T284" t="s">
        <v>639</v>
      </c>
      <c r="U284" t="s">
        <v>507</v>
      </c>
      <c r="V284" t="s">
        <v>57</v>
      </c>
      <c r="W284" t="s">
        <v>243</v>
      </c>
      <c r="X284" t="s">
        <v>640</v>
      </c>
      <c r="Y284">
        <v>13305131386</v>
      </c>
      <c r="Z284" t="s">
        <v>113</v>
      </c>
      <c r="AA284" t="s">
        <v>159</v>
      </c>
      <c r="AB284" t="s">
        <v>65</v>
      </c>
      <c r="AC284">
        <v>650</v>
      </c>
      <c r="AD284" t="s">
        <v>69</v>
      </c>
      <c r="AE284">
        <v>41</v>
      </c>
      <c r="AH284">
        <v>23.47</v>
      </c>
      <c r="AK284">
        <v>24</v>
      </c>
      <c r="AP284" t="s">
        <v>163</v>
      </c>
      <c r="AQ284" t="s">
        <v>117</v>
      </c>
      <c r="AR284" t="s">
        <v>641</v>
      </c>
      <c r="AS284" t="s">
        <v>642</v>
      </c>
      <c r="AT284">
        <v>24</v>
      </c>
      <c r="AU284">
        <v>18.2</v>
      </c>
      <c r="AV284">
        <v>28</v>
      </c>
      <c r="AW284">
        <v>41</v>
      </c>
    </row>
    <row r="285" spans="1:57" x14ac:dyDescent="0.3">
      <c r="A285" s="7">
        <v>300</v>
      </c>
      <c r="B285" t="s">
        <v>504</v>
      </c>
      <c r="C285" t="s">
        <v>505</v>
      </c>
      <c r="D285" t="s">
        <v>654</v>
      </c>
      <c r="E285" t="s">
        <v>507</v>
      </c>
      <c r="F285" t="s">
        <v>632</v>
      </c>
      <c r="G285" t="s">
        <v>655</v>
      </c>
      <c r="H285" s="3">
        <v>39814</v>
      </c>
      <c r="I285" t="s">
        <v>634</v>
      </c>
      <c r="J285" t="s">
        <v>635</v>
      </c>
      <c r="K285" t="s">
        <v>636</v>
      </c>
      <c r="L285">
        <v>18036602125</v>
      </c>
      <c r="N285" t="s">
        <v>656</v>
      </c>
      <c r="O285" s="2">
        <v>45399</v>
      </c>
      <c r="P285" s="2">
        <v>46128</v>
      </c>
      <c r="Q285" t="s">
        <v>65</v>
      </c>
      <c r="R285" t="s">
        <v>638</v>
      </c>
      <c r="S285" t="s">
        <v>87</v>
      </c>
      <c r="T285" t="s">
        <v>657</v>
      </c>
      <c r="U285" t="s">
        <v>507</v>
      </c>
      <c r="V285" t="s">
        <v>57</v>
      </c>
      <c r="W285" t="s">
        <v>243</v>
      </c>
      <c r="X285" t="s">
        <v>640</v>
      </c>
      <c r="Y285">
        <v>13305131386</v>
      </c>
      <c r="Z285" t="s">
        <v>113</v>
      </c>
      <c r="AA285" t="s">
        <v>159</v>
      </c>
      <c r="AB285" t="s">
        <v>65</v>
      </c>
      <c r="AC285">
        <v>650</v>
      </c>
      <c r="AD285" t="s">
        <v>69</v>
      </c>
      <c r="AE285">
        <v>41</v>
      </c>
      <c r="AH285">
        <v>23.47</v>
      </c>
      <c r="AK285">
        <v>24</v>
      </c>
      <c r="AP285" t="s">
        <v>163</v>
      </c>
      <c r="AQ285" t="s">
        <v>117</v>
      </c>
      <c r="AR285" t="s">
        <v>658</v>
      </c>
      <c r="AS285" t="s">
        <v>642</v>
      </c>
      <c r="AT285">
        <v>24</v>
      </c>
      <c r="AU285">
        <v>18.2</v>
      </c>
      <c r="AV285">
        <v>28</v>
      </c>
      <c r="AW285">
        <v>41</v>
      </c>
      <c r="BB285" t="s">
        <v>248</v>
      </c>
    </row>
    <row r="286" spans="1:57" x14ac:dyDescent="0.3">
      <c r="A286" s="7">
        <v>301</v>
      </c>
      <c r="B286" t="s">
        <v>504</v>
      </c>
      <c r="C286" t="s">
        <v>505</v>
      </c>
      <c r="D286" t="s">
        <v>667</v>
      </c>
      <c r="E286" t="s">
        <v>507</v>
      </c>
      <c r="F286" t="s">
        <v>632</v>
      </c>
      <c r="G286" t="s">
        <v>668</v>
      </c>
      <c r="H286" s="3">
        <v>39814</v>
      </c>
      <c r="I286" t="s">
        <v>635</v>
      </c>
      <c r="J286" t="s">
        <v>635</v>
      </c>
      <c r="K286" t="s">
        <v>636</v>
      </c>
      <c r="L286">
        <v>18036602125</v>
      </c>
      <c r="N286" t="s">
        <v>669</v>
      </c>
      <c r="O286" s="2">
        <v>45399</v>
      </c>
      <c r="P286" s="2">
        <v>46128</v>
      </c>
      <c r="Q286" t="s">
        <v>65</v>
      </c>
      <c r="R286" t="s">
        <v>638</v>
      </c>
      <c r="S286" t="s">
        <v>87</v>
      </c>
      <c r="T286" t="s">
        <v>670</v>
      </c>
      <c r="U286" t="s">
        <v>507</v>
      </c>
      <c r="V286" t="s">
        <v>57</v>
      </c>
      <c r="W286" t="s">
        <v>243</v>
      </c>
      <c r="X286" t="s">
        <v>640</v>
      </c>
      <c r="Y286">
        <v>13305131386</v>
      </c>
      <c r="Z286" t="s">
        <v>113</v>
      </c>
      <c r="AA286" t="s">
        <v>159</v>
      </c>
      <c r="AB286" t="s">
        <v>65</v>
      </c>
      <c r="AC286">
        <v>650</v>
      </c>
      <c r="AD286" t="s">
        <v>69</v>
      </c>
      <c r="AE286">
        <v>41</v>
      </c>
      <c r="AH286">
        <v>23.47</v>
      </c>
      <c r="AK286">
        <v>24</v>
      </c>
      <c r="AP286" t="s">
        <v>163</v>
      </c>
      <c r="AQ286" t="s">
        <v>117</v>
      </c>
      <c r="AR286" t="s">
        <v>671</v>
      </c>
      <c r="AS286" t="s">
        <v>642</v>
      </c>
      <c r="AT286">
        <v>24</v>
      </c>
      <c r="AU286">
        <v>18.2</v>
      </c>
      <c r="AV286">
        <v>28</v>
      </c>
      <c r="AW286">
        <v>41</v>
      </c>
      <c r="BB286" t="s">
        <v>248</v>
      </c>
    </row>
    <row r="287" spans="1:57" x14ac:dyDescent="0.3">
      <c r="A287" s="7">
        <v>302</v>
      </c>
      <c r="B287" t="s">
        <v>504</v>
      </c>
      <c r="C287" t="s">
        <v>505</v>
      </c>
      <c r="D287" t="s">
        <v>588</v>
      </c>
      <c r="E287" t="s">
        <v>567</v>
      </c>
      <c r="F287" t="s">
        <v>589</v>
      </c>
      <c r="G287" t="s">
        <v>590</v>
      </c>
      <c r="H287" s="3">
        <v>39387</v>
      </c>
      <c r="I287" t="s">
        <v>269</v>
      </c>
      <c r="J287" t="s">
        <v>549</v>
      </c>
      <c r="K287" t="s">
        <v>591</v>
      </c>
      <c r="L287">
        <v>15150937337</v>
      </c>
      <c r="M287">
        <v>15150937337</v>
      </c>
      <c r="N287" t="s">
        <v>592</v>
      </c>
      <c r="O287" s="2">
        <v>45530</v>
      </c>
      <c r="P287" s="2">
        <v>46260</v>
      </c>
      <c r="Q287" t="s">
        <v>65</v>
      </c>
      <c r="R287" t="s">
        <v>593</v>
      </c>
      <c r="S287" t="s">
        <v>195</v>
      </c>
      <c r="T287" t="s">
        <v>594</v>
      </c>
      <c r="U287" t="s">
        <v>567</v>
      </c>
      <c r="V287" t="s">
        <v>57</v>
      </c>
      <c r="X287" t="s">
        <v>595</v>
      </c>
      <c r="Z287" t="s">
        <v>113</v>
      </c>
      <c r="AA287" t="s">
        <v>290</v>
      </c>
      <c r="AB287" t="s">
        <v>65</v>
      </c>
      <c r="AC287">
        <v>990</v>
      </c>
      <c r="AD287" t="s">
        <v>69</v>
      </c>
      <c r="AE287">
        <v>61</v>
      </c>
      <c r="AH287">
        <v>35</v>
      </c>
      <c r="AK287">
        <v>90</v>
      </c>
      <c r="AL287">
        <v>180</v>
      </c>
      <c r="AN287">
        <v>27</v>
      </c>
      <c r="AP287" t="s">
        <v>163</v>
      </c>
      <c r="AQ287" t="s">
        <v>117</v>
      </c>
      <c r="AR287" t="s">
        <v>596</v>
      </c>
      <c r="AS287" t="s">
        <v>597</v>
      </c>
      <c r="AT287" t="s">
        <v>598</v>
      </c>
      <c r="AU287">
        <f>-18-42</f>
        <v>-60</v>
      </c>
      <c r="AV287">
        <v>27</v>
      </c>
      <c r="AW287">
        <v>61</v>
      </c>
      <c r="AZ287">
        <v>222042</v>
      </c>
      <c r="BB287" t="s">
        <v>248</v>
      </c>
      <c r="BD287" t="s">
        <v>249</v>
      </c>
      <c r="BE287" t="s">
        <v>250</v>
      </c>
    </row>
    <row r="288" spans="1:57" x14ac:dyDescent="0.3">
      <c r="A288" s="7">
        <v>303</v>
      </c>
      <c r="B288" t="s">
        <v>504</v>
      </c>
      <c r="C288" t="s">
        <v>505</v>
      </c>
      <c r="D288" t="s">
        <v>625</v>
      </c>
      <c r="E288" t="s">
        <v>567</v>
      </c>
      <c r="F288" t="s">
        <v>589</v>
      </c>
      <c r="G288" t="s">
        <v>626</v>
      </c>
      <c r="H288" s="3">
        <v>39387</v>
      </c>
      <c r="I288" t="s">
        <v>269</v>
      </c>
      <c r="J288" t="s">
        <v>627</v>
      </c>
      <c r="K288" t="s">
        <v>591</v>
      </c>
      <c r="L288">
        <v>15150937337</v>
      </c>
      <c r="M288">
        <v>15150937337</v>
      </c>
      <c r="N288" t="s">
        <v>628</v>
      </c>
      <c r="O288" s="2">
        <v>45530</v>
      </c>
      <c r="P288" s="2">
        <v>46260</v>
      </c>
      <c r="Q288" t="s">
        <v>65</v>
      </c>
      <c r="R288" t="s">
        <v>593</v>
      </c>
      <c r="S288" t="s">
        <v>195</v>
      </c>
      <c r="T288" t="s">
        <v>629</v>
      </c>
      <c r="U288" t="s">
        <v>567</v>
      </c>
      <c r="V288" t="s">
        <v>57</v>
      </c>
      <c r="X288" t="s">
        <v>595</v>
      </c>
      <c r="Z288" t="s">
        <v>113</v>
      </c>
      <c r="AA288" t="s">
        <v>290</v>
      </c>
      <c r="AB288" t="s">
        <v>65</v>
      </c>
      <c r="AC288">
        <v>990</v>
      </c>
      <c r="AD288" t="s">
        <v>69</v>
      </c>
      <c r="AE288">
        <v>61</v>
      </c>
      <c r="AH288">
        <v>35</v>
      </c>
      <c r="AK288">
        <v>90</v>
      </c>
      <c r="AL288">
        <v>180</v>
      </c>
      <c r="AN288">
        <v>27</v>
      </c>
      <c r="AP288" t="s">
        <v>163</v>
      </c>
      <c r="AQ288" t="s">
        <v>117</v>
      </c>
      <c r="AR288" t="s">
        <v>630</v>
      </c>
      <c r="AS288" t="s">
        <v>597</v>
      </c>
      <c r="AT288" t="s">
        <v>598</v>
      </c>
      <c r="AU288">
        <f>-18-42</f>
        <v>-60</v>
      </c>
      <c r="AV288">
        <v>27</v>
      </c>
      <c r="AW288">
        <v>61</v>
      </c>
      <c r="AZ288">
        <v>222042</v>
      </c>
      <c r="BB288" t="s">
        <v>248</v>
      </c>
      <c r="BD288" t="s">
        <v>249</v>
      </c>
      <c r="BE288" t="s">
        <v>250</v>
      </c>
    </row>
    <row r="289" spans="1:54" x14ac:dyDescent="0.3">
      <c r="A289" s="7">
        <v>304</v>
      </c>
      <c r="B289" t="s">
        <v>504</v>
      </c>
      <c r="C289" t="s">
        <v>505</v>
      </c>
      <c r="D289" t="s">
        <v>643</v>
      </c>
      <c r="E289" t="s">
        <v>507</v>
      </c>
      <c r="F289" t="s">
        <v>632</v>
      </c>
      <c r="G289" t="s">
        <v>644</v>
      </c>
      <c r="H289" s="3">
        <v>39814</v>
      </c>
      <c r="I289" t="s">
        <v>634</v>
      </c>
      <c r="J289" t="s">
        <v>645</v>
      </c>
      <c r="K289" t="s">
        <v>636</v>
      </c>
      <c r="L289">
        <v>13851398730</v>
      </c>
      <c r="M289">
        <v>13851398730</v>
      </c>
      <c r="N289" t="s">
        <v>646</v>
      </c>
      <c r="O289" s="2">
        <v>45399</v>
      </c>
      <c r="P289" s="2">
        <v>46128</v>
      </c>
      <c r="Q289" t="s">
        <v>65</v>
      </c>
      <c r="R289" t="s">
        <v>593</v>
      </c>
      <c r="S289" t="s">
        <v>87</v>
      </c>
      <c r="T289" t="s">
        <v>647</v>
      </c>
      <c r="U289" t="s">
        <v>507</v>
      </c>
      <c r="V289" t="s">
        <v>57</v>
      </c>
      <c r="W289" t="s">
        <v>243</v>
      </c>
      <c r="X289" t="s">
        <v>640</v>
      </c>
      <c r="Y289">
        <v>13305131386</v>
      </c>
      <c r="Z289" t="s">
        <v>113</v>
      </c>
      <c r="AA289" t="s">
        <v>159</v>
      </c>
      <c r="AB289" t="s">
        <v>65</v>
      </c>
      <c r="AC289">
        <v>650</v>
      </c>
      <c r="AD289" t="s">
        <v>69</v>
      </c>
      <c r="AE289">
        <v>41</v>
      </c>
      <c r="AH289">
        <v>23.47</v>
      </c>
      <c r="AK289">
        <v>24</v>
      </c>
      <c r="AP289" t="s">
        <v>163</v>
      </c>
      <c r="AQ289" t="s">
        <v>117</v>
      </c>
      <c r="AR289" t="s">
        <v>648</v>
      </c>
      <c r="AS289" t="s">
        <v>642</v>
      </c>
      <c r="AT289">
        <v>24</v>
      </c>
      <c r="AU289">
        <v>18.2</v>
      </c>
      <c r="AV289">
        <v>28</v>
      </c>
      <c r="AW289">
        <v>41</v>
      </c>
      <c r="AZ289">
        <v>222042</v>
      </c>
    </row>
    <row r="290" spans="1:54" x14ac:dyDescent="0.3">
      <c r="A290" s="7">
        <v>305</v>
      </c>
      <c r="B290" t="s">
        <v>504</v>
      </c>
      <c r="C290" t="s">
        <v>505</v>
      </c>
      <c r="D290" t="s">
        <v>649</v>
      </c>
      <c r="E290" t="s">
        <v>507</v>
      </c>
      <c r="F290" t="s">
        <v>632</v>
      </c>
      <c r="G290" t="s">
        <v>650</v>
      </c>
      <c r="H290" s="3">
        <v>39814</v>
      </c>
      <c r="I290" t="s">
        <v>634</v>
      </c>
      <c r="J290" t="s">
        <v>645</v>
      </c>
      <c r="K290" t="s">
        <v>636</v>
      </c>
      <c r="L290">
        <v>13851398730</v>
      </c>
      <c r="M290">
        <v>17663060266</v>
      </c>
      <c r="N290" t="s">
        <v>651</v>
      </c>
      <c r="O290" s="2">
        <v>45399</v>
      </c>
      <c r="P290" s="2">
        <v>46128</v>
      </c>
      <c r="Q290" t="s">
        <v>65</v>
      </c>
      <c r="R290" t="s">
        <v>593</v>
      </c>
      <c r="S290" t="s">
        <v>87</v>
      </c>
      <c r="T290" t="s">
        <v>652</v>
      </c>
      <c r="U290" t="s">
        <v>507</v>
      </c>
      <c r="V290" t="s">
        <v>57</v>
      </c>
      <c r="W290" t="s">
        <v>243</v>
      </c>
      <c r="X290" t="s">
        <v>640</v>
      </c>
      <c r="Y290">
        <v>13305131386</v>
      </c>
      <c r="Z290" t="s">
        <v>113</v>
      </c>
      <c r="AA290" t="s">
        <v>159</v>
      </c>
      <c r="AB290" t="s">
        <v>65</v>
      </c>
      <c r="AC290">
        <v>650</v>
      </c>
      <c r="AD290" t="s">
        <v>69</v>
      </c>
      <c r="AE290">
        <v>41</v>
      </c>
      <c r="AH290">
        <v>23.47</v>
      </c>
      <c r="AK290">
        <v>24</v>
      </c>
      <c r="AP290" t="s">
        <v>163</v>
      </c>
      <c r="AQ290" t="s">
        <v>117</v>
      </c>
      <c r="AR290" t="s">
        <v>653</v>
      </c>
      <c r="AS290" t="s">
        <v>642</v>
      </c>
      <c r="AT290">
        <v>24</v>
      </c>
      <c r="AU290">
        <v>18.2</v>
      </c>
      <c r="AV290">
        <v>28</v>
      </c>
      <c r="AW290">
        <v>41</v>
      </c>
      <c r="AZ290">
        <v>222042</v>
      </c>
      <c r="BB290" t="s">
        <v>248</v>
      </c>
    </row>
    <row r="291" spans="1:54" x14ac:dyDescent="0.3">
      <c r="A291" s="7">
        <v>306</v>
      </c>
      <c r="B291" t="s">
        <v>504</v>
      </c>
      <c r="C291" t="s">
        <v>505</v>
      </c>
      <c r="D291" t="s">
        <v>672</v>
      </c>
      <c r="E291" t="s">
        <v>507</v>
      </c>
      <c r="F291" t="s">
        <v>632</v>
      </c>
      <c r="G291" t="s">
        <v>673</v>
      </c>
      <c r="H291" s="3">
        <v>39814</v>
      </c>
      <c r="I291" t="s">
        <v>634</v>
      </c>
      <c r="J291" t="s">
        <v>645</v>
      </c>
      <c r="K291" t="s">
        <v>636</v>
      </c>
      <c r="L291">
        <v>13851398730</v>
      </c>
      <c r="M291">
        <v>13851398730</v>
      </c>
      <c r="N291" t="s">
        <v>674</v>
      </c>
      <c r="O291" s="2">
        <v>45399</v>
      </c>
      <c r="P291" s="2">
        <v>46128</v>
      </c>
      <c r="Q291" t="s">
        <v>65</v>
      </c>
      <c r="R291" t="s">
        <v>593</v>
      </c>
      <c r="S291" t="s">
        <v>87</v>
      </c>
      <c r="T291" t="s">
        <v>675</v>
      </c>
      <c r="U291" t="s">
        <v>507</v>
      </c>
      <c r="V291" t="s">
        <v>57</v>
      </c>
      <c r="W291" t="s">
        <v>243</v>
      </c>
      <c r="X291" t="s">
        <v>640</v>
      </c>
      <c r="Y291">
        <v>13305131386</v>
      </c>
      <c r="Z291" t="s">
        <v>113</v>
      </c>
      <c r="AA291" t="s">
        <v>159</v>
      </c>
      <c r="AB291" t="s">
        <v>65</v>
      </c>
      <c r="AC291">
        <v>650</v>
      </c>
      <c r="AD291" t="s">
        <v>69</v>
      </c>
      <c r="AE291">
        <v>41</v>
      </c>
      <c r="AH291">
        <v>23.47</v>
      </c>
      <c r="AK291">
        <v>24</v>
      </c>
      <c r="AP291" t="s">
        <v>163</v>
      </c>
      <c r="AQ291" t="s">
        <v>117</v>
      </c>
      <c r="AR291" t="s">
        <v>676</v>
      </c>
      <c r="AS291" t="s">
        <v>642</v>
      </c>
      <c r="AT291">
        <v>24</v>
      </c>
      <c r="AU291">
        <v>18.2</v>
      </c>
      <c r="AV291">
        <v>28</v>
      </c>
      <c r="AW291">
        <v>41</v>
      </c>
      <c r="AZ291">
        <v>222042</v>
      </c>
      <c r="BB291" t="s">
        <v>248</v>
      </c>
    </row>
    <row r="292" spans="1:54" x14ac:dyDescent="0.3">
      <c r="A292" s="7">
        <v>307</v>
      </c>
      <c r="B292" t="s">
        <v>504</v>
      </c>
      <c r="C292" t="s">
        <v>505</v>
      </c>
      <c r="D292" t="s">
        <v>677</v>
      </c>
      <c r="E292" t="s">
        <v>507</v>
      </c>
      <c r="F292" t="s">
        <v>632</v>
      </c>
      <c r="G292" t="s">
        <v>678</v>
      </c>
      <c r="H292" s="3">
        <v>39814</v>
      </c>
      <c r="I292" t="s">
        <v>634</v>
      </c>
      <c r="J292" t="s">
        <v>645</v>
      </c>
      <c r="K292" t="s">
        <v>636</v>
      </c>
      <c r="L292">
        <v>13851398730</v>
      </c>
      <c r="M292">
        <v>13851398730</v>
      </c>
      <c r="N292" t="s">
        <v>679</v>
      </c>
      <c r="O292" s="2">
        <v>45399</v>
      </c>
      <c r="P292" s="2">
        <v>46128</v>
      </c>
      <c r="Q292" t="s">
        <v>65</v>
      </c>
      <c r="R292" t="s">
        <v>593</v>
      </c>
      <c r="S292" t="s">
        <v>87</v>
      </c>
      <c r="T292" t="s">
        <v>680</v>
      </c>
      <c r="U292" t="s">
        <v>507</v>
      </c>
      <c r="V292" t="s">
        <v>57</v>
      </c>
      <c r="W292" t="s">
        <v>243</v>
      </c>
      <c r="X292" t="s">
        <v>640</v>
      </c>
      <c r="Y292">
        <v>13305131386</v>
      </c>
      <c r="Z292" t="s">
        <v>113</v>
      </c>
      <c r="AA292" t="s">
        <v>159</v>
      </c>
      <c r="AB292" t="s">
        <v>65</v>
      </c>
      <c r="AC292">
        <v>650</v>
      </c>
      <c r="AD292" t="s">
        <v>69</v>
      </c>
      <c r="AE292">
        <v>41</v>
      </c>
      <c r="AH292">
        <v>23.47</v>
      </c>
      <c r="AK292">
        <v>24</v>
      </c>
      <c r="AP292" t="s">
        <v>163</v>
      </c>
      <c r="AQ292" t="s">
        <v>117</v>
      </c>
      <c r="AR292" t="s">
        <v>681</v>
      </c>
      <c r="AS292" t="s">
        <v>642</v>
      </c>
      <c r="AT292">
        <v>24</v>
      </c>
      <c r="AU292">
        <v>18.2</v>
      </c>
      <c r="AV292">
        <v>28</v>
      </c>
      <c r="AW292">
        <v>41</v>
      </c>
      <c r="AZ292">
        <v>222042</v>
      </c>
    </row>
    <row r="293" spans="1:54" x14ac:dyDescent="0.3">
      <c r="A293" s="7">
        <v>308</v>
      </c>
      <c r="B293" t="s">
        <v>1100</v>
      </c>
      <c r="C293">
        <v>9.1320707573760896E+17</v>
      </c>
      <c r="D293" t="s">
        <v>1101</v>
      </c>
      <c r="E293" t="s">
        <v>214</v>
      </c>
      <c r="F293" t="s">
        <v>974</v>
      </c>
      <c r="G293">
        <v>1460109</v>
      </c>
      <c r="H293" s="5">
        <v>45748</v>
      </c>
      <c r="I293" t="s">
        <v>1102</v>
      </c>
      <c r="J293" t="s">
        <v>1103</v>
      </c>
      <c r="K293" t="s">
        <v>1104</v>
      </c>
      <c r="L293">
        <v>19812323335</v>
      </c>
      <c r="M293">
        <v>19812323335</v>
      </c>
      <c r="N293" t="s">
        <v>1105</v>
      </c>
      <c r="O293" s="2">
        <v>45804</v>
      </c>
      <c r="P293" s="2">
        <v>46169</v>
      </c>
      <c r="Q293" t="s">
        <v>65</v>
      </c>
      <c r="R293" t="s">
        <v>86</v>
      </c>
      <c r="S293" t="s">
        <v>1021</v>
      </c>
      <c r="T293" t="s">
        <v>1106</v>
      </c>
      <c r="U293" t="s">
        <v>1107</v>
      </c>
      <c r="V293" t="s">
        <v>57</v>
      </c>
      <c r="Z293" t="s">
        <v>1023</v>
      </c>
      <c r="AA293" t="s">
        <v>721</v>
      </c>
      <c r="AB293" t="s">
        <v>132</v>
      </c>
      <c r="AC293">
        <v>2380</v>
      </c>
      <c r="AD293" t="s">
        <v>69</v>
      </c>
      <c r="AE293">
        <v>70</v>
      </c>
      <c r="AF293">
        <v>280</v>
      </c>
      <c r="AP293" t="s">
        <v>1024</v>
      </c>
      <c r="AR293" t="s">
        <v>1108</v>
      </c>
      <c r="AT293" t="s">
        <v>1109</v>
      </c>
      <c r="AU293">
        <v>18</v>
      </c>
      <c r="AV293">
        <v>22</v>
      </c>
      <c r="AZ293">
        <v>222000</v>
      </c>
    </row>
    <row r="294" spans="1:54" x14ac:dyDescent="0.3">
      <c r="A294" s="7">
        <v>309</v>
      </c>
      <c r="B294" t="s">
        <v>1100</v>
      </c>
      <c r="C294">
        <v>9.1320707573760896E+17</v>
      </c>
      <c r="D294" t="s">
        <v>1110</v>
      </c>
      <c r="E294" t="s">
        <v>557</v>
      </c>
      <c r="F294" t="s">
        <v>1111</v>
      </c>
      <c r="G294" t="s">
        <v>1112</v>
      </c>
      <c r="H294" s="3">
        <v>45592</v>
      </c>
      <c r="I294" t="s">
        <v>1113</v>
      </c>
      <c r="J294" t="s">
        <v>1114</v>
      </c>
      <c r="K294" t="s">
        <v>1104</v>
      </c>
      <c r="L294">
        <v>19812323335</v>
      </c>
      <c r="M294">
        <v>19812323335</v>
      </c>
      <c r="N294" t="s">
        <v>1112</v>
      </c>
      <c r="O294" s="2">
        <v>45643</v>
      </c>
      <c r="P294" s="2">
        <v>46008</v>
      </c>
      <c r="Q294" t="s">
        <v>65</v>
      </c>
      <c r="R294" t="s">
        <v>86</v>
      </c>
      <c r="S294" t="s">
        <v>1115</v>
      </c>
      <c r="T294" t="s">
        <v>1116</v>
      </c>
      <c r="U294" t="s">
        <v>730</v>
      </c>
      <c r="V294" t="s">
        <v>57</v>
      </c>
      <c r="Z294" t="s">
        <v>1023</v>
      </c>
      <c r="AA294" t="s">
        <v>721</v>
      </c>
      <c r="AB294" t="s">
        <v>132</v>
      </c>
      <c r="AC294">
        <v>1630</v>
      </c>
      <c r="AD294" t="s">
        <v>69</v>
      </c>
      <c r="AE294">
        <v>45</v>
      </c>
      <c r="AF294">
        <v>118</v>
      </c>
      <c r="AP294" t="s">
        <v>1024</v>
      </c>
      <c r="AR294" t="s">
        <v>1117</v>
      </c>
      <c r="AT294">
        <v>36</v>
      </c>
      <c r="AU294">
        <v>15.1</v>
      </c>
      <c r="AV294" t="s">
        <v>83</v>
      </c>
      <c r="AZ294">
        <v>222000</v>
      </c>
    </row>
    <row r="295" spans="1:54" x14ac:dyDescent="0.3">
      <c r="A295" s="7">
        <v>310</v>
      </c>
      <c r="B295" t="s">
        <v>1100</v>
      </c>
      <c r="C295">
        <v>9.1320707573760896E+17</v>
      </c>
      <c r="D295" t="s">
        <v>1118</v>
      </c>
      <c r="E295" t="s">
        <v>1119</v>
      </c>
      <c r="F295" t="s">
        <v>1120</v>
      </c>
      <c r="G295">
        <v>171222</v>
      </c>
      <c r="H295" s="3">
        <v>43747</v>
      </c>
      <c r="I295" t="s">
        <v>1121</v>
      </c>
      <c r="J295" t="s">
        <v>1122</v>
      </c>
      <c r="K295" t="s">
        <v>1123</v>
      </c>
      <c r="L295">
        <v>15861203376</v>
      </c>
      <c r="N295" t="s">
        <v>83</v>
      </c>
      <c r="O295" s="2">
        <v>45379</v>
      </c>
      <c r="P295" s="2">
        <v>46109</v>
      </c>
      <c r="Q295" t="s">
        <v>65</v>
      </c>
      <c r="R295" t="s">
        <v>86</v>
      </c>
      <c r="S295" t="s">
        <v>1124</v>
      </c>
      <c r="T295" t="s">
        <v>1125</v>
      </c>
      <c r="U295" t="s">
        <v>1119</v>
      </c>
      <c r="V295" t="s">
        <v>57</v>
      </c>
      <c r="X295" t="s">
        <v>1123</v>
      </c>
      <c r="Y295">
        <v>15705151233</v>
      </c>
      <c r="Z295" t="s">
        <v>1023</v>
      </c>
      <c r="AA295" t="s">
        <v>159</v>
      </c>
      <c r="AB295" t="s">
        <v>65</v>
      </c>
      <c r="AC295">
        <v>600</v>
      </c>
      <c r="AD295" t="s">
        <v>69</v>
      </c>
      <c r="AE295">
        <v>20</v>
      </c>
      <c r="AF295">
        <v>200</v>
      </c>
      <c r="AK295">
        <v>5</v>
      </c>
      <c r="AP295" t="s">
        <v>1024</v>
      </c>
      <c r="AS295" t="s">
        <v>1126</v>
      </c>
      <c r="AT295">
        <v>5</v>
      </c>
      <c r="AU295">
        <v>10</v>
      </c>
      <c r="AV295">
        <v>18</v>
      </c>
      <c r="AW295">
        <v>20</v>
      </c>
      <c r="AZ295">
        <v>222100</v>
      </c>
    </row>
    <row r="296" spans="1:54" x14ac:dyDescent="0.3">
      <c r="A296" s="7">
        <v>311</v>
      </c>
      <c r="B296" t="s">
        <v>1100</v>
      </c>
      <c r="C296">
        <v>9.1320707573760896E+17</v>
      </c>
      <c r="D296" t="s">
        <v>1127</v>
      </c>
      <c r="E296" t="s">
        <v>124</v>
      </c>
      <c r="F296" t="s">
        <v>1128</v>
      </c>
      <c r="G296">
        <v>20130220</v>
      </c>
      <c r="H296" s="3">
        <v>41605</v>
      </c>
      <c r="I296" t="s">
        <v>496</v>
      </c>
      <c r="J296" t="s">
        <v>1129</v>
      </c>
      <c r="K296" t="s">
        <v>1019</v>
      </c>
      <c r="L296">
        <v>15861203376</v>
      </c>
      <c r="N296" t="s">
        <v>83</v>
      </c>
      <c r="O296" s="2">
        <v>45315</v>
      </c>
      <c r="P296" s="2">
        <v>46046</v>
      </c>
      <c r="Q296" t="s">
        <v>65</v>
      </c>
      <c r="R296" t="s">
        <v>86</v>
      </c>
      <c r="S296" t="s">
        <v>1124</v>
      </c>
      <c r="T296" t="s">
        <v>1130</v>
      </c>
      <c r="U296" t="s">
        <v>124</v>
      </c>
      <c r="V296" t="s">
        <v>57</v>
      </c>
      <c r="W296" t="s">
        <v>243</v>
      </c>
      <c r="X296" t="s">
        <v>1019</v>
      </c>
      <c r="Y296">
        <v>15861203376</v>
      </c>
      <c r="Z296" t="s">
        <v>1023</v>
      </c>
      <c r="AA296" t="s">
        <v>159</v>
      </c>
      <c r="AB296" t="s">
        <v>65</v>
      </c>
      <c r="AC296">
        <v>600</v>
      </c>
      <c r="AD296" t="s">
        <v>69</v>
      </c>
      <c r="AE296">
        <v>10</v>
      </c>
      <c r="AH296">
        <v>16.5</v>
      </c>
      <c r="AK296">
        <v>6.5</v>
      </c>
      <c r="AP296" t="s">
        <v>1024</v>
      </c>
      <c r="AQ296" t="s">
        <v>94</v>
      </c>
      <c r="AS296" t="s">
        <v>1131</v>
      </c>
      <c r="AT296" t="s">
        <v>1132</v>
      </c>
      <c r="AU296">
        <v>8</v>
      </c>
      <c r="AV296">
        <v>15.5</v>
      </c>
      <c r="AW296">
        <v>10</v>
      </c>
      <c r="AZ296">
        <v>222042</v>
      </c>
    </row>
    <row r="297" spans="1:54" x14ac:dyDescent="0.3">
      <c r="A297" s="7">
        <v>312</v>
      </c>
      <c r="B297" t="s">
        <v>1100</v>
      </c>
      <c r="C297">
        <v>9.1320707573760896E+17</v>
      </c>
      <c r="D297" t="s">
        <v>1133</v>
      </c>
      <c r="E297" t="s">
        <v>62</v>
      </c>
      <c r="F297" t="s">
        <v>1134</v>
      </c>
      <c r="G297" t="s">
        <v>1135</v>
      </c>
      <c r="I297" t="s">
        <v>1136</v>
      </c>
      <c r="J297" t="s">
        <v>1129</v>
      </c>
      <c r="K297" t="s">
        <v>1019</v>
      </c>
      <c r="L297">
        <v>15861203376</v>
      </c>
      <c r="N297">
        <v>3</v>
      </c>
      <c r="O297" s="2">
        <v>45840</v>
      </c>
      <c r="P297" s="2">
        <v>46570</v>
      </c>
      <c r="Q297" t="s">
        <v>65</v>
      </c>
      <c r="R297" t="s">
        <v>86</v>
      </c>
      <c r="S297" t="s">
        <v>1021</v>
      </c>
      <c r="T297" t="s">
        <v>1137</v>
      </c>
      <c r="U297" t="s">
        <v>62</v>
      </c>
      <c r="V297" t="s">
        <v>57</v>
      </c>
      <c r="W297" t="s">
        <v>1138</v>
      </c>
      <c r="X297" t="s">
        <v>1019</v>
      </c>
      <c r="Y297">
        <v>51881762069</v>
      </c>
      <c r="AA297" t="s">
        <v>159</v>
      </c>
      <c r="AB297" t="s">
        <v>65</v>
      </c>
      <c r="AC297">
        <v>1190</v>
      </c>
      <c r="AD297" t="s">
        <v>69</v>
      </c>
      <c r="AE297">
        <v>40</v>
      </c>
      <c r="AF297">
        <v>1720</v>
      </c>
      <c r="AK297">
        <v>70</v>
      </c>
      <c r="AP297" t="s">
        <v>1024</v>
      </c>
      <c r="AS297" t="s">
        <v>323</v>
      </c>
      <c r="AT297" t="s">
        <v>1139</v>
      </c>
      <c r="AU297" t="s">
        <v>1140</v>
      </c>
      <c r="AV297">
        <v>36</v>
      </c>
      <c r="AW297">
        <v>40</v>
      </c>
      <c r="AZ297">
        <v>222000</v>
      </c>
    </row>
    <row r="298" spans="1:54" x14ac:dyDescent="0.3">
      <c r="A298" s="7">
        <v>313</v>
      </c>
      <c r="B298" t="s">
        <v>1100</v>
      </c>
      <c r="C298">
        <v>9.1320707573760896E+17</v>
      </c>
      <c r="D298" t="s">
        <v>1141</v>
      </c>
      <c r="E298" t="s">
        <v>62</v>
      </c>
      <c r="F298" t="s">
        <v>1142</v>
      </c>
      <c r="G298" t="s">
        <v>1143</v>
      </c>
      <c r="H298" s="3">
        <v>41197</v>
      </c>
      <c r="I298" t="s">
        <v>1136</v>
      </c>
      <c r="J298" t="s">
        <v>1129</v>
      </c>
      <c r="K298" t="s">
        <v>1019</v>
      </c>
      <c r="L298">
        <v>15861203376</v>
      </c>
      <c r="N298">
        <v>8</v>
      </c>
      <c r="O298" s="2">
        <v>45840</v>
      </c>
      <c r="P298" s="2">
        <v>46570</v>
      </c>
      <c r="Q298" t="s">
        <v>65</v>
      </c>
      <c r="R298" t="s">
        <v>86</v>
      </c>
      <c r="S298" t="s">
        <v>1021</v>
      </c>
      <c r="T298" t="s">
        <v>1144</v>
      </c>
      <c r="U298" t="s">
        <v>67</v>
      </c>
      <c r="V298" t="s">
        <v>57</v>
      </c>
      <c r="W298" t="s">
        <v>1138</v>
      </c>
      <c r="X298" t="s">
        <v>1019</v>
      </c>
      <c r="Y298">
        <v>51881762069</v>
      </c>
      <c r="AA298" t="s">
        <v>159</v>
      </c>
      <c r="AB298" t="s">
        <v>65</v>
      </c>
      <c r="AC298">
        <v>930</v>
      </c>
      <c r="AD298" t="s">
        <v>69</v>
      </c>
      <c r="AE298">
        <v>25</v>
      </c>
      <c r="AF298">
        <v>925</v>
      </c>
      <c r="AP298" t="s">
        <v>1024</v>
      </c>
      <c r="AS298" t="s">
        <v>323</v>
      </c>
      <c r="AT298" t="s">
        <v>1139</v>
      </c>
      <c r="AU298" t="s">
        <v>1140</v>
      </c>
      <c r="AV298">
        <v>30</v>
      </c>
      <c r="AW298">
        <v>25</v>
      </c>
      <c r="AZ298">
        <v>222000</v>
      </c>
    </row>
    <row r="299" spans="1:54" x14ac:dyDescent="0.3">
      <c r="A299" s="7">
        <v>314</v>
      </c>
      <c r="B299" t="s">
        <v>1100</v>
      </c>
      <c r="C299">
        <v>9.1320707573760896E+17</v>
      </c>
      <c r="D299" t="s">
        <v>1145</v>
      </c>
      <c r="E299" t="s">
        <v>62</v>
      </c>
      <c r="F299" t="s">
        <v>1134</v>
      </c>
      <c r="G299" t="s">
        <v>1146</v>
      </c>
      <c r="H299" s="3">
        <v>41199</v>
      </c>
      <c r="I299" t="s">
        <v>1136</v>
      </c>
      <c r="J299" t="s">
        <v>1129</v>
      </c>
      <c r="K299" t="s">
        <v>1019</v>
      </c>
      <c r="L299">
        <v>15861203376</v>
      </c>
      <c r="N299">
        <v>4</v>
      </c>
      <c r="O299" s="2">
        <v>45840</v>
      </c>
      <c r="P299" s="2">
        <v>46570</v>
      </c>
      <c r="Q299" t="s">
        <v>65</v>
      </c>
      <c r="R299" t="s">
        <v>86</v>
      </c>
      <c r="S299" t="s">
        <v>1021</v>
      </c>
      <c r="T299" t="s">
        <v>1147</v>
      </c>
      <c r="U299" t="s">
        <v>67</v>
      </c>
      <c r="V299" t="s">
        <v>57</v>
      </c>
      <c r="W299" t="s">
        <v>1138</v>
      </c>
      <c r="X299" t="s">
        <v>1019</v>
      </c>
      <c r="Y299">
        <v>51881762069</v>
      </c>
      <c r="AA299" t="s">
        <v>159</v>
      </c>
      <c r="AB299" t="s">
        <v>65</v>
      </c>
      <c r="AC299">
        <v>1190</v>
      </c>
      <c r="AD299" t="s">
        <v>69</v>
      </c>
      <c r="AE299">
        <v>40</v>
      </c>
      <c r="AF299">
        <v>1720</v>
      </c>
      <c r="AP299" t="s">
        <v>1024</v>
      </c>
      <c r="AS299" t="s">
        <v>323</v>
      </c>
      <c r="AT299" t="s">
        <v>1139</v>
      </c>
      <c r="AU299" t="s">
        <v>1140</v>
      </c>
      <c r="AV299">
        <v>36</v>
      </c>
      <c r="AW299">
        <v>40</v>
      </c>
      <c r="AZ299">
        <v>222000</v>
      </c>
    </row>
    <row r="300" spans="1:54" x14ac:dyDescent="0.3">
      <c r="A300" s="7">
        <v>315</v>
      </c>
      <c r="B300" t="s">
        <v>1100</v>
      </c>
      <c r="C300">
        <v>9.1320707573760896E+17</v>
      </c>
      <c r="D300" t="s">
        <v>1148</v>
      </c>
      <c r="E300" t="s">
        <v>62</v>
      </c>
      <c r="F300" t="s">
        <v>1142</v>
      </c>
      <c r="G300" t="s">
        <v>1149</v>
      </c>
      <c r="H300" s="3">
        <v>41199</v>
      </c>
      <c r="I300" t="s">
        <v>1136</v>
      </c>
      <c r="J300" t="s">
        <v>1129</v>
      </c>
      <c r="K300" t="s">
        <v>1019</v>
      </c>
      <c r="L300">
        <v>15861203376</v>
      </c>
      <c r="N300">
        <v>9</v>
      </c>
      <c r="O300" s="2">
        <v>45840</v>
      </c>
      <c r="P300" s="2">
        <v>46570</v>
      </c>
      <c r="Q300" t="s">
        <v>65</v>
      </c>
      <c r="R300" t="s">
        <v>86</v>
      </c>
      <c r="S300" t="s">
        <v>1021</v>
      </c>
      <c r="T300" t="s">
        <v>1150</v>
      </c>
      <c r="U300" t="s">
        <v>62</v>
      </c>
      <c r="V300" t="s">
        <v>57</v>
      </c>
      <c r="W300" t="s">
        <v>1138</v>
      </c>
      <c r="X300" t="s">
        <v>1019</v>
      </c>
      <c r="Y300">
        <v>51881762069</v>
      </c>
      <c r="AA300" t="s">
        <v>159</v>
      </c>
      <c r="AB300" t="s">
        <v>65</v>
      </c>
      <c r="AC300">
        <v>930</v>
      </c>
      <c r="AD300" t="s">
        <v>69</v>
      </c>
      <c r="AE300">
        <v>25</v>
      </c>
      <c r="AF300">
        <v>925</v>
      </c>
      <c r="AP300" t="s">
        <v>1024</v>
      </c>
      <c r="AS300" t="s">
        <v>323</v>
      </c>
      <c r="AT300" t="s">
        <v>1139</v>
      </c>
      <c r="AU300" t="s">
        <v>1140</v>
      </c>
      <c r="AV300">
        <v>30</v>
      </c>
      <c r="AW300">
        <v>25</v>
      </c>
      <c r="AZ300">
        <v>222000</v>
      </c>
    </row>
    <row r="301" spans="1:54" x14ac:dyDescent="0.3">
      <c r="A301" s="7">
        <v>316</v>
      </c>
      <c r="B301" t="s">
        <v>1100</v>
      </c>
      <c r="C301">
        <v>9.1320707573760896E+17</v>
      </c>
      <c r="D301" t="s">
        <v>1151</v>
      </c>
      <c r="E301" t="s">
        <v>62</v>
      </c>
      <c r="F301" t="s">
        <v>1134</v>
      </c>
      <c r="G301" t="s">
        <v>1152</v>
      </c>
      <c r="H301" s="3">
        <v>41199</v>
      </c>
      <c r="I301" t="s">
        <v>1136</v>
      </c>
      <c r="J301" t="s">
        <v>1129</v>
      </c>
      <c r="K301" t="s">
        <v>1019</v>
      </c>
      <c r="L301">
        <v>15861203376</v>
      </c>
      <c r="N301">
        <v>1</v>
      </c>
      <c r="O301" s="2">
        <v>45840</v>
      </c>
      <c r="P301" s="2">
        <v>46570</v>
      </c>
      <c r="Q301" t="s">
        <v>65</v>
      </c>
      <c r="R301" t="s">
        <v>86</v>
      </c>
      <c r="S301" t="s">
        <v>1021</v>
      </c>
      <c r="T301" t="s">
        <v>1153</v>
      </c>
      <c r="U301" t="s">
        <v>67</v>
      </c>
      <c r="V301" t="s">
        <v>57</v>
      </c>
      <c r="W301" t="s">
        <v>1138</v>
      </c>
      <c r="X301" t="s">
        <v>1019</v>
      </c>
      <c r="Y301">
        <v>51881762069</v>
      </c>
      <c r="AA301" t="s">
        <v>159</v>
      </c>
      <c r="AB301" t="s">
        <v>65</v>
      </c>
      <c r="AC301">
        <v>1190</v>
      </c>
      <c r="AD301" t="s">
        <v>69</v>
      </c>
      <c r="AE301">
        <v>40</v>
      </c>
      <c r="AF301">
        <v>1720</v>
      </c>
      <c r="AP301" t="s">
        <v>1024</v>
      </c>
      <c r="AS301" t="s">
        <v>323</v>
      </c>
      <c r="AT301" t="s">
        <v>1139</v>
      </c>
      <c r="AU301" t="s">
        <v>1140</v>
      </c>
      <c r="AV301">
        <v>36</v>
      </c>
      <c r="AW301">
        <v>40</v>
      </c>
      <c r="AZ301">
        <v>222000</v>
      </c>
    </row>
    <row r="302" spans="1:54" x14ac:dyDescent="0.3">
      <c r="A302" s="7">
        <v>317</v>
      </c>
      <c r="B302" t="s">
        <v>1100</v>
      </c>
      <c r="C302">
        <v>9.1320707573760896E+17</v>
      </c>
      <c r="D302" t="s">
        <v>1154</v>
      </c>
      <c r="E302" t="s">
        <v>62</v>
      </c>
      <c r="F302" t="s">
        <v>1134</v>
      </c>
      <c r="G302" t="s">
        <v>1155</v>
      </c>
      <c r="H302" s="3">
        <v>41199</v>
      </c>
      <c r="I302" t="s">
        <v>1136</v>
      </c>
      <c r="J302" t="s">
        <v>1129</v>
      </c>
      <c r="K302" t="s">
        <v>1019</v>
      </c>
      <c r="L302">
        <v>15861203376</v>
      </c>
      <c r="N302">
        <v>2</v>
      </c>
      <c r="O302" s="2">
        <v>45840</v>
      </c>
      <c r="P302" s="2">
        <v>46570</v>
      </c>
      <c r="Q302" t="s">
        <v>65</v>
      </c>
      <c r="R302" t="s">
        <v>86</v>
      </c>
      <c r="S302" t="s">
        <v>1021</v>
      </c>
      <c r="T302" t="s">
        <v>1156</v>
      </c>
      <c r="U302" t="s">
        <v>67</v>
      </c>
      <c r="V302" t="s">
        <v>57</v>
      </c>
      <c r="W302" t="s">
        <v>1138</v>
      </c>
      <c r="X302" t="s">
        <v>1019</v>
      </c>
      <c r="Y302">
        <v>51881762069</v>
      </c>
      <c r="AA302" t="s">
        <v>159</v>
      </c>
      <c r="AB302" t="s">
        <v>65</v>
      </c>
      <c r="AC302">
        <v>1190</v>
      </c>
      <c r="AD302" t="s">
        <v>69</v>
      </c>
      <c r="AE302">
        <v>40</v>
      </c>
      <c r="AF302">
        <v>1720</v>
      </c>
      <c r="AP302" t="s">
        <v>1024</v>
      </c>
      <c r="AS302" t="s">
        <v>323</v>
      </c>
      <c r="AT302" t="s">
        <v>1139</v>
      </c>
      <c r="AU302" t="s">
        <v>1140</v>
      </c>
      <c r="AV302">
        <v>36</v>
      </c>
      <c r="AW302">
        <v>40</v>
      </c>
      <c r="AZ302">
        <v>222000</v>
      </c>
    </row>
    <row r="303" spans="1:54" x14ac:dyDescent="0.3">
      <c r="A303" s="7">
        <v>318</v>
      </c>
      <c r="B303" t="s">
        <v>1100</v>
      </c>
      <c r="C303">
        <v>9.1320707573760896E+17</v>
      </c>
      <c r="D303" t="s">
        <v>1157</v>
      </c>
      <c r="E303" t="s">
        <v>62</v>
      </c>
      <c r="F303" t="s">
        <v>1142</v>
      </c>
      <c r="G303" t="s">
        <v>1158</v>
      </c>
      <c r="H303" s="3">
        <v>41197</v>
      </c>
      <c r="I303" t="s">
        <v>1136</v>
      </c>
      <c r="J303" t="s">
        <v>1129</v>
      </c>
      <c r="K303" t="s">
        <v>1019</v>
      </c>
      <c r="L303">
        <v>15861203376</v>
      </c>
      <c r="N303">
        <v>6</v>
      </c>
      <c r="O303" s="2">
        <v>45840</v>
      </c>
      <c r="P303" s="2">
        <v>46570</v>
      </c>
      <c r="Q303" t="s">
        <v>65</v>
      </c>
      <c r="R303" t="s">
        <v>86</v>
      </c>
      <c r="S303" t="s">
        <v>1021</v>
      </c>
      <c r="T303" t="s">
        <v>1159</v>
      </c>
      <c r="U303" t="s">
        <v>67</v>
      </c>
      <c r="V303" t="s">
        <v>57</v>
      </c>
      <c r="W303" t="s">
        <v>1138</v>
      </c>
      <c r="X303" t="s">
        <v>1019</v>
      </c>
      <c r="Y303">
        <v>51881762069</v>
      </c>
      <c r="AA303" t="s">
        <v>159</v>
      </c>
      <c r="AB303" t="s">
        <v>65</v>
      </c>
      <c r="AC303">
        <v>930</v>
      </c>
      <c r="AD303" t="s">
        <v>69</v>
      </c>
      <c r="AE303">
        <v>25</v>
      </c>
      <c r="AF303">
        <v>925</v>
      </c>
      <c r="AP303" t="s">
        <v>1024</v>
      </c>
      <c r="AS303" t="s">
        <v>323</v>
      </c>
      <c r="AT303" t="s">
        <v>1139</v>
      </c>
      <c r="AU303" t="s">
        <v>1140</v>
      </c>
      <c r="AV303">
        <v>30</v>
      </c>
      <c r="AW303">
        <v>25</v>
      </c>
      <c r="AZ303">
        <v>222000</v>
      </c>
    </row>
    <row r="304" spans="1:54" x14ac:dyDescent="0.3">
      <c r="A304" s="7">
        <v>319</v>
      </c>
      <c r="B304" t="s">
        <v>1100</v>
      </c>
      <c r="C304">
        <v>9.1320707573760896E+17</v>
      </c>
      <c r="D304" t="s">
        <v>1160</v>
      </c>
      <c r="E304" t="s">
        <v>62</v>
      </c>
      <c r="F304" t="s">
        <v>1161</v>
      </c>
      <c r="G304" t="s">
        <v>1162</v>
      </c>
      <c r="H304" s="3">
        <v>41978</v>
      </c>
      <c r="I304" t="s">
        <v>1163</v>
      </c>
      <c r="J304" t="s">
        <v>1164</v>
      </c>
      <c r="K304" t="s">
        <v>1123</v>
      </c>
      <c r="L304">
        <v>15861203376</v>
      </c>
      <c r="N304" t="s">
        <v>83</v>
      </c>
      <c r="O304" s="2">
        <v>45379</v>
      </c>
      <c r="P304" s="2">
        <v>46109</v>
      </c>
      <c r="Q304" t="s">
        <v>65</v>
      </c>
      <c r="R304" t="s">
        <v>86</v>
      </c>
      <c r="S304" t="s">
        <v>1124</v>
      </c>
      <c r="T304" t="s">
        <v>1165</v>
      </c>
      <c r="U304" t="s">
        <v>62</v>
      </c>
      <c r="V304" t="s">
        <v>57</v>
      </c>
      <c r="W304" t="s">
        <v>184</v>
      </c>
      <c r="X304" t="s">
        <v>1019</v>
      </c>
      <c r="Y304">
        <v>18036601233</v>
      </c>
      <c r="Z304" t="s">
        <v>1023</v>
      </c>
      <c r="AA304" t="s">
        <v>159</v>
      </c>
      <c r="AB304" t="s">
        <v>65</v>
      </c>
      <c r="AC304">
        <v>950</v>
      </c>
      <c r="AD304" t="s">
        <v>69</v>
      </c>
      <c r="AE304">
        <v>40</v>
      </c>
      <c r="AF304">
        <v>1720</v>
      </c>
      <c r="AK304">
        <v>60</v>
      </c>
      <c r="AP304" t="s">
        <v>1024</v>
      </c>
      <c r="AQ304" t="s">
        <v>117</v>
      </c>
      <c r="AS304" t="s">
        <v>323</v>
      </c>
      <c r="AT304" t="s">
        <v>1166</v>
      </c>
      <c r="AU304">
        <f>-20-21/-20-36</f>
        <v>-54.95</v>
      </c>
      <c r="AV304">
        <v>36</v>
      </c>
      <c r="AW304">
        <v>40</v>
      </c>
      <c r="AZ304">
        <v>222100</v>
      </c>
    </row>
    <row r="305" spans="1:57" x14ac:dyDescent="0.3">
      <c r="A305" s="7">
        <v>320</v>
      </c>
      <c r="B305" t="s">
        <v>1100</v>
      </c>
      <c r="C305">
        <v>9.1320707573760896E+17</v>
      </c>
      <c r="D305" t="s">
        <v>1167</v>
      </c>
      <c r="E305" t="s">
        <v>62</v>
      </c>
      <c r="F305" t="s">
        <v>1161</v>
      </c>
      <c r="G305" t="s">
        <v>1168</v>
      </c>
      <c r="H305" s="3">
        <v>41978</v>
      </c>
      <c r="I305" t="s">
        <v>1169</v>
      </c>
      <c r="J305" t="s">
        <v>1170</v>
      </c>
      <c r="K305" t="s">
        <v>1123</v>
      </c>
      <c r="L305">
        <v>15861203376</v>
      </c>
      <c r="N305" t="s">
        <v>1171</v>
      </c>
      <c r="O305" s="2">
        <v>45379</v>
      </c>
      <c r="P305" s="2">
        <v>46109</v>
      </c>
      <c r="Q305" t="s">
        <v>65</v>
      </c>
      <c r="R305" t="s">
        <v>86</v>
      </c>
      <c r="S305" t="s">
        <v>1124</v>
      </c>
      <c r="T305" t="s">
        <v>1172</v>
      </c>
      <c r="U305" t="s">
        <v>62</v>
      </c>
      <c r="V305" t="s">
        <v>57</v>
      </c>
      <c r="W305" t="s">
        <v>184</v>
      </c>
      <c r="X305" t="s">
        <v>1019</v>
      </c>
      <c r="Y305" t="s">
        <v>1173</v>
      </c>
      <c r="Z305" t="s">
        <v>1023</v>
      </c>
      <c r="AA305" t="s">
        <v>159</v>
      </c>
      <c r="AB305" t="s">
        <v>65</v>
      </c>
      <c r="AC305">
        <v>950</v>
      </c>
      <c r="AD305" t="s">
        <v>69</v>
      </c>
      <c r="AE305">
        <v>40</v>
      </c>
      <c r="AF305">
        <v>1720</v>
      </c>
      <c r="AK305">
        <v>60</v>
      </c>
      <c r="AP305" t="s">
        <v>1024</v>
      </c>
      <c r="AS305" t="s">
        <v>323</v>
      </c>
      <c r="AT305" t="s">
        <v>1166</v>
      </c>
      <c r="AU305">
        <f>-20-21/-20-36</f>
        <v>-54.95</v>
      </c>
      <c r="AV305">
        <v>36</v>
      </c>
      <c r="AW305">
        <v>40</v>
      </c>
      <c r="AZ305">
        <v>222100</v>
      </c>
    </row>
    <row r="306" spans="1:57" x14ac:dyDescent="0.3">
      <c r="A306" s="7">
        <v>321</v>
      </c>
      <c r="B306" t="s">
        <v>1100</v>
      </c>
      <c r="C306">
        <v>9.1320707573760896E+17</v>
      </c>
      <c r="D306" t="s">
        <v>1174</v>
      </c>
      <c r="E306" t="s">
        <v>62</v>
      </c>
      <c r="F306" t="s">
        <v>1142</v>
      </c>
      <c r="G306" t="s">
        <v>1175</v>
      </c>
      <c r="I306" t="s">
        <v>1136</v>
      </c>
      <c r="J306" t="s">
        <v>1129</v>
      </c>
      <c r="K306" t="s">
        <v>1019</v>
      </c>
      <c r="L306">
        <v>15861203376</v>
      </c>
      <c r="N306">
        <v>7</v>
      </c>
      <c r="O306" s="2">
        <v>45840</v>
      </c>
      <c r="P306" s="2">
        <v>46570</v>
      </c>
      <c r="Q306" t="s">
        <v>65</v>
      </c>
      <c r="R306" t="s">
        <v>86</v>
      </c>
      <c r="S306" t="s">
        <v>1021</v>
      </c>
      <c r="T306" t="s">
        <v>1176</v>
      </c>
      <c r="U306" t="s">
        <v>62</v>
      </c>
      <c r="V306" t="s">
        <v>57</v>
      </c>
      <c r="W306" t="s">
        <v>1138</v>
      </c>
      <c r="X306" t="s">
        <v>1019</v>
      </c>
      <c r="Y306">
        <v>51881762069</v>
      </c>
      <c r="AA306" t="s">
        <v>159</v>
      </c>
      <c r="AB306" t="s">
        <v>65</v>
      </c>
      <c r="AC306">
        <v>930</v>
      </c>
      <c r="AD306" t="s">
        <v>69</v>
      </c>
      <c r="AE306">
        <v>25</v>
      </c>
      <c r="AF306">
        <v>925</v>
      </c>
      <c r="AK306">
        <v>70</v>
      </c>
      <c r="AP306" t="s">
        <v>1024</v>
      </c>
      <c r="AS306" t="s">
        <v>1177</v>
      </c>
      <c r="AT306" t="s">
        <v>1139</v>
      </c>
      <c r="AU306" t="s">
        <v>1140</v>
      </c>
      <c r="AV306">
        <v>30</v>
      </c>
      <c r="AW306">
        <v>25</v>
      </c>
      <c r="AZ306">
        <v>222000</v>
      </c>
    </row>
    <row r="307" spans="1:57" x14ac:dyDescent="0.3">
      <c r="A307" s="7">
        <v>322</v>
      </c>
      <c r="B307" t="s">
        <v>1100</v>
      </c>
      <c r="C307">
        <v>9.1320707573760896E+17</v>
      </c>
      <c r="D307" t="s">
        <v>1178</v>
      </c>
      <c r="E307" t="s">
        <v>557</v>
      </c>
      <c r="F307" t="s">
        <v>558</v>
      </c>
      <c r="G307" t="s">
        <v>1179</v>
      </c>
      <c r="H307" s="3">
        <v>43227</v>
      </c>
      <c r="I307" t="s">
        <v>1180</v>
      </c>
      <c r="J307" t="s">
        <v>1129</v>
      </c>
      <c r="K307" t="s">
        <v>1019</v>
      </c>
      <c r="L307">
        <v>15861203376</v>
      </c>
      <c r="N307" t="s">
        <v>1181</v>
      </c>
      <c r="O307" s="2">
        <v>45840</v>
      </c>
      <c r="P307" s="2">
        <v>46205</v>
      </c>
      <c r="Q307" t="s">
        <v>65</v>
      </c>
      <c r="R307" t="s">
        <v>86</v>
      </c>
      <c r="S307" t="s">
        <v>1021</v>
      </c>
      <c r="T307" t="s">
        <v>1182</v>
      </c>
      <c r="U307" t="s">
        <v>557</v>
      </c>
      <c r="V307" t="s">
        <v>57</v>
      </c>
      <c r="W307" t="s">
        <v>1183</v>
      </c>
      <c r="X307" t="s">
        <v>1019</v>
      </c>
      <c r="Y307">
        <v>18861388651</v>
      </c>
      <c r="Z307" t="s">
        <v>1023</v>
      </c>
      <c r="AA307" t="s">
        <v>159</v>
      </c>
      <c r="AB307" t="s">
        <v>65</v>
      </c>
      <c r="AC307">
        <v>815</v>
      </c>
      <c r="AD307" t="s">
        <v>69</v>
      </c>
      <c r="AE307">
        <v>45</v>
      </c>
      <c r="AF307">
        <v>88.5</v>
      </c>
      <c r="AK307" t="s">
        <v>693</v>
      </c>
      <c r="AP307" t="s">
        <v>1024</v>
      </c>
      <c r="AS307" t="s">
        <v>565</v>
      </c>
      <c r="AT307" t="s">
        <v>693</v>
      </c>
      <c r="AU307">
        <v>15.1</v>
      </c>
      <c r="AW307">
        <v>45</v>
      </c>
      <c r="AZ307">
        <v>222000</v>
      </c>
    </row>
    <row r="308" spans="1:57" x14ac:dyDescent="0.3">
      <c r="A308" s="7">
        <v>323</v>
      </c>
      <c r="B308" t="s">
        <v>1100</v>
      </c>
      <c r="C308">
        <v>9.1320707573760896E+17</v>
      </c>
      <c r="D308" t="s">
        <v>1184</v>
      </c>
      <c r="E308" t="s">
        <v>62</v>
      </c>
      <c r="F308" t="s">
        <v>1185</v>
      </c>
      <c r="G308" t="s">
        <v>1186</v>
      </c>
      <c r="H308" s="3">
        <v>43282</v>
      </c>
      <c r="I308" t="s">
        <v>1187</v>
      </c>
      <c r="J308" t="s">
        <v>1170</v>
      </c>
      <c r="K308" t="s">
        <v>1123</v>
      </c>
      <c r="L308">
        <v>15861203376</v>
      </c>
      <c r="N308" t="s">
        <v>1188</v>
      </c>
      <c r="O308" s="2">
        <v>45524</v>
      </c>
      <c r="P308" s="2">
        <v>46275</v>
      </c>
      <c r="Q308" t="s">
        <v>65</v>
      </c>
      <c r="R308" t="s">
        <v>86</v>
      </c>
      <c r="S308" t="s">
        <v>1124</v>
      </c>
      <c r="T308" t="s">
        <v>1189</v>
      </c>
      <c r="U308" t="s">
        <v>62</v>
      </c>
      <c r="V308" t="s">
        <v>57</v>
      </c>
      <c r="X308" t="s">
        <v>1019</v>
      </c>
      <c r="Y308">
        <v>15705151233</v>
      </c>
      <c r="Z308" t="s">
        <v>1023</v>
      </c>
      <c r="AA308" t="s">
        <v>159</v>
      </c>
      <c r="AB308" t="s">
        <v>65</v>
      </c>
      <c r="AC308">
        <v>1190</v>
      </c>
      <c r="AD308" t="s">
        <v>69</v>
      </c>
      <c r="AE308">
        <v>40</v>
      </c>
      <c r="AF308">
        <v>1720</v>
      </c>
      <c r="AK308" t="s">
        <v>1190</v>
      </c>
      <c r="AN308">
        <v>40</v>
      </c>
      <c r="AP308" t="s">
        <v>1024</v>
      </c>
      <c r="AS308" t="s">
        <v>947</v>
      </c>
      <c r="AT308" t="s">
        <v>1190</v>
      </c>
      <c r="AU308">
        <f>-19-20/-19-30</f>
        <v>-47.94736842105263</v>
      </c>
      <c r="AV308">
        <v>40</v>
      </c>
      <c r="AW308">
        <v>40</v>
      </c>
      <c r="AZ308">
        <v>222100</v>
      </c>
    </row>
    <row r="309" spans="1:57" x14ac:dyDescent="0.3">
      <c r="A309" s="7">
        <v>324</v>
      </c>
      <c r="B309" t="s">
        <v>1100</v>
      </c>
      <c r="C309">
        <v>9.1320707573760896E+17</v>
      </c>
      <c r="D309" t="s">
        <v>1191</v>
      </c>
      <c r="E309" t="s">
        <v>62</v>
      </c>
      <c r="F309" t="s">
        <v>1185</v>
      </c>
      <c r="G309" t="s">
        <v>1192</v>
      </c>
      <c r="H309" s="3">
        <v>43282</v>
      </c>
      <c r="I309" t="s">
        <v>1187</v>
      </c>
      <c r="J309" t="s">
        <v>1170</v>
      </c>
      <c r="K309" t="s">
        <v>1123</v>
      </c>
      <c r="L309">
        <v>15861203376</v>
      </c>
      <c r="N309" t="s">
        <v>1193</v>
      </c>
      <c r="O309" s="2">
        <v>45524</v>
      </c>
      <c r="P309" s="2">
        <v>46275</v>
      </c>
      <c r="Q309" t="s">
        <v>65</v>
      </c>
      <c r="R309" t="s">
        <v>86</v>
      </c>
      <c r="S309" t="s">
        <v>1124</v>
      </c>
      <c r="T309" t="s">
        <v>1194</v>
      </c>
      <c r="U309" t="s">
        <v>62</v>
      </c>
      <c r="V309" t="s">
        <v>57</v>
      </c>
      <c r="X309" t="s">
        <v>1195</v>
      </c>
      <c r="Y309">
        <v>15705151233</v>
      </c>
      <c r="Z309" t="s">
        <v>1023</v>
      </c>
      <c r="AA309" t="s">
        <v>159</v>
      </c>
      <c r="AB309" t="s">
        <v>65</v>
      </c>
      <c r="AC309">
        <v>1190</v>
      </c>
      <c r="AD309" t="s">
        <v>69</v>
      </c>
      <c r="AE309">
        <v>40</v>
      </c>
      <c r="AF309">
        <v>1720</v>
      </c>
      <c r="AK309" t="s">
        <v>1190</v>
      </c>
      <c r="AN309">
        <v>40</v>
      </c>
      <c r="AP309" t="s">
        <v>1024</v>
      </c>
      <c r="AS309" t="s">
        <v>947</v>
      </c>
      <c r="AT309" t="s">
        <v>1190</v>
      </c>
      <c r="AU309">
        <f>-19-20/-19-30</f>
        <v>-47.94736842105263</v>
      </c>
      <c r="AV309">
        <v>40</v>
      </c>
      <c r="AW309">
        <v>40</v>
      </c>
      <c r="AZ309">
        <v>222100</v>
      </c>
    </row>
    <row r="310" spans="1:57" x14ac:dyDescent="0.3">
      <c r="A310" s="7">
        <v>325</v>
      </c>
      <c r="B310" t="s">
        <v>1100</v>
      </c>
      <c r="C310">
        <v>9.1320707573760896E+17</v>
      </c>
      <c r="D310" t="s">
        <v>1196</v>
      </c>
      <c r="E310" t="s">
        <v>214</v>
      </c>
      <c r="F310" t="s">
        <v>1197</v>
      </c>
      <c r="G310">
        <v>1210110</v>
      </c>
      <c r="H310" s="3">
        <v>41456</v>
      </c>
      <c r="I310" t="s">
        <v>1198</v>
      </c>
      <c r="J310" t="s">
        <v>1170</v>
      </c>
      <c r="K310" t="s">
        <v>1019</v>
      </c>
      <c r="L310">
        <v>15861203376</v>
      </c>
      <c r="N310">
        <v>4</v>
      </c>
      <c r="O310" s="2">
        <v>45600</v>
      </c>
      <c r="P310" s="2">
        <v>45965</v>
      </c>
      <c r="Q310" t="s">
        <v>65</v>
      </c>
      <c r="R310" t="s">
        <v>86</v>
      </c>
      <c r="S310" t="s">
        <v>1115</v>
      </c>
      <c r="T310" t="s">
        <v>1199</v>
      </c>
      <c r="U310" t="s">
        <v>214</v>
      </c>
      <c r="V310" t="s">
        <v>57</v>
      </c>
      <c r="W310" t="s">
        <v>243</v>
      </c>
      <c r="X310" t="s">
        <v>1019</v>
      </c>
      <c r="Y310">
        <v>51881762069</v>
      </c>
      <c r="Z310" t="s">
        <v>1023</v>
      </c>
      <c r="AA310" t="s">
        <v>159</v>
      </c>
      <c r="AB310" t="s">
        <v>65</v>
      </c>
      <c r="AC310">
        <v>740</v>
      </c>
      <c r="AD310" t="s">
        <v>69</v>
      </c>
      <c r="AE310">
        <v>40</v>
      </c>
      <c r="AF310">
        <v>168</v>
      </c>
      <c r="AK310">
        <v>75</v>
      </c>
      <c r="AN310">
        <v>22</v>
      </c>
      <c r="AP310" t="s">
        <v>1024</v>
      </c>
      <c r="AS310" t="s">
        <v>344</v>
      </c>
      <c r="AT310">
        <v>75</v>
      </c>
      <c r="AU310">
        <v>28</v>
      </c>
      <c r="AV310">
        <v>22</v>
      </c>
      <c r="AW310">
        <v>40</v>
      </c>
      <c r="AZ310">
        <v>222100</v>
      </c>
    </row>
    <row r="311" spans="1:57" x14ac:dyDescent="0.3">
      <c r="A311" s="7">
        <v>326</v>
      </c>
      <c r="B311" t="s">
        <v>1100</v>
      </c>
      <c r="C311">
        <v>9.1320707573760896E+17</v>
      </c>
      <c r="D311" t="s">
        <v>1200</v>
      </c>
      <c r="E311" t="s">
        <v>557</v>
      </c>
      <c r="F311" t="s">
        <v>908</v>
      </c>
      <c r="G311" t="s">
        <v>1201</v>
      </c>
      <c r="H311" s="3">
        <v>41661</v>
      </c>
      <c r="I311" t="s">
        <v>1198</v>
      </c>
      <c r="J311" t="s">
        <v>1170</v>
      </c>
      <c r="K311" t="s">
        <v>1019</v>
      </c>
      <c r="L311">
        <v>15861203376</v>
      </c>
      <c r="N311">
        <v>6</v>
      </c>
      <c r="O311" s="2">
        <v>45600</v>
      </c>
      <c r="P311" s="2">
        <v>45965</v>
      </c>
      <c r="Q311" t="s">
        <v>65</v>
      </c>
      <c r="R311" t="s">
        <v>86</v>
      </c>
      <c r="S311" t="s">
        <v>1115</v>
      </c>
      <c r="T311" t="s">
        <v>1202</v>
      </c>
      <c r="U311" t="s">
        <v>557</v>
      </c>
      <c r="V311" t="s">
        <v>57</v>
      </c>
      <c r="W311" t="s">
        <v>243</v>
      </c>
      <c r="X311" t="s">
        <v>1019</v>
      </c>
      <c r="Y311">
        <v>51881762069</v>
      </c>
      <c r="Z311" t="s">
        <v>1023</v>
      </c>
      <c r="AA311" t="s">
        <v>159</v>
      </c>
      <c r="AB311" t="s">
        <v>65</v>
      </c>
      <c r="AC311">
        <v>815</v>
      </c>
      <c r="AD311" t="s">
        <v>69</v>
      </c>
      <c r="AE311">
        <v>45</v>
      </c>
      <c r="AF311">
        <v>115.9</v>
      </c>
      <c r="AK311" t="s">
        <v>732</v>
      </c>
      <c r="AP311" t="s">
        <v>1024</v>
      </c>
      <c r="AS311" t="s">
        <v>891</v>
      </c>
      <c r="AT311" t="s">
        <v>732</v>
      </c>
      <c r="AU311">
        <v>15.1</v>
      </c>
      <c r="AW311">
        <v>45</v>
      </c>
      <c r="AZ311">
        <v>222100</v>
      </c>
    </row>
    <row r="312" spans="1:57" x14ac:dyDescent="0.3">
      <c r="A312" s="7">
        <v>327</v>
      </c>
      <c r="B312" t="s">
        <v>1100</v>
      </c>
      <c r="C312">
        <v>9.1320707573760896E+17</v>
      </c>
      <c r="D312" t="s">
        <v>1203</v>
      </c>
      <c r="E312" t="s">
        <v>325</v>
      </c>
      <c r="F312" t="s">
        <v>1204</v>
      </c>
      <c r="G312">
        <v>15030119</v>
      </c>
      <c r="H312" s="3">
        <v>42195</v>
      </c>
      <c r="I312" t="s">
        <v>1205</v>
      </c>
      <c r="J312" t="s">
        <v>1129</v>
      </c>
      <c r="K312" t="s">
        <v>1123</v>
      </c>
      <c r="L312">
        <v>15861203376</v>
      </c>
      <c r="N312" t="s">
        <v>225</v>
      </c>
      <c r="O312" s="2">
        <v>45524</v>
      </c>
      <c r="P312" s="2">
        <v>46275</v>
      </c>
      <c r="Q312" t="s">
        <v>65</v>
      </c>
      <c r="R312" t="s">
        <v>86</v>
      </c>
      <c r="S312" t="s">
        <v>1124</v>
      </c>
      <c r="T312" t="s">
        <v>1206</v>
      </c>
      <c r="U312" t="s">
        <v>1207</v>
      </c>
      <c r="V312" t="s">
        <v>57</v>
      </c>
      <c r="W312" t="s">
        <v>1208</v>
      </c>
      <c r="X312" t="s">
        <v>1019</v>
      </c>
      <c r="Y312">
        <v>18036601233</v>
      </c>
      <c r="Z312" t="s">
        <v>1023</v>
      </c>
      <c r="AA312" t="s">
        <v>159</v>
      </c>
      <c r="AB312" t="s">
        <v>65</v>
      </c>
      <c r="AC312">
        <v>825</v>
      </c>
      <c r="AD312" t="s">
        <v>69</v>
      </c>
      <c r="AE312">
        <v>5</v>
      </c>
      <c r="AH312">
        <v>10.5</v>
      </c>
      <c r="AK312">
        <v>8</v>
      </c>
      <c r="AN312">
        <v>15</v>
      </c>
      <c r="AP312" t="s">
        <v>1024</v>
      </c>
      <c r="AQ312" t="s">
        <v>94</v>
      </c>
      <c r="AS312" t="s">
        <v>330</v>
      </c>
      <c r="AT312">
        <v>8</v>
      </c>
      <c r="AU312">
        <v>6</v>
      </c>
      <c r="AV312">
        <v>15</v>
      </c>
      <c r="AW312">
        <v>5</v>
      </c>
      <c r="AZ312">
        <v>222100</v>
      </c>
      <c r="BB312" t="s">
        <v>248</v>
      </c>
      <c r="BD312" t="s">
        <v>385</v>
      </c>
      <c r="BE312" t="s">
        <v>386</v>
      </c>
    </row>
    <row r="313" spans="1:57" x14ac:dyDescent="0.3">
      <c r="A313" s="7">
        <v>328</v>
      </c>
      <c r="B313" t="s">
        <v>1100</v>
      </c>
      <c r="C313">
        <v>9.1320707573760896E+17</v>
      </c>
      <c r="D313" t="s">
        <v>1209</v>
      </c>
      <c r="E313" t="s">
        <v>214</v>
      </c>
      <c r="F313" t="s">
        <v>341</v>
      </c>
      <c r="G313">
        <v>1010409</v>
      </c>
      <c r="H313" s="3">
        <v>41214</v>
      </c>
      <c r="I313" t="s">
        <v>1210</v>
      </c>
      <c r="J313" t="s">
        <v>1210</v>
      </c>
      <c r="K313" t="s">
        <v>83</v>
      </c>
      <c r="L313">
        <v>15861203376</v>
      </c>
      <c r="N313">
        <v>1</v>
      </c>
      <c r="O313" s="2">
        <v>45623</v>
      </c>
      <c r="P313" s="2">
        <v>45988</v>
      </c>
      <c r="Q313" t="s">
        <v>65</v>
      </c>
      <c r="R313" t="s">
        <v>86</v>
      </c>
      <c r="S313" t="s">
        <v>1124</v>
      </c>
      <c r="T313" t="s">
        <v>1211</v>
      </c>
      <c r="U313" t="s">
        <v>214</v>
      </c>
      <c r="V313" t="s">
        <v>57</v>
      </c>
      <c r="W313" t="s">
        <v>243</v>
      </c>
      <c r="X313" t="s">
        <v>1019</v>
      </c>
      <c r="Y313">
        <v>51881762069</v>
      </c>
      <c r="AA313" t="s">
        <v>159</v>
      </c>
      <c r="AB313" t="s">
        <v>65</v>
      </c>
      <c r="AC313">
        <v>515</v>
      </c>
      <c r="AD313" t="s">
        <v>69</v>
      </c>
      <c r="AE313">
        <v>25</v>
      </c>
      <c r="AF313">
        <v>102</v>
      </c>
      <c r="AK313">
        <v>76</v>
      </c>
      <c r="AN313">
        <v>15</v>
      </c>
      <c r="AP313" t="s">
        <v>1024</v>
      </c>
      <c r="AS313" t="s">
        <v>344</v>
      </c>
      <c r="AT313">
        <v>76</v>
      </c>
      <c r="AU313">
        <v>24</v>
      </c>
      <c r="AV313">
        <v>17</v>
      </c>
      <c r="AW313">
        <v>25</v>
      </c>
      <c r="AZ313">
        <v>222100</v>
      </c>
    </row>
    <row r="314" spans="1:57" x14ac:dyDescent="0.3">
      <c r="A314" s="7">
        <v>329</v>
      </c>
      <c r="B314" t="s">
        <v>1100</v>
      </c>
      <c r="C314">
        <v>9.1320707573760896E+17</v>
      </c>
      <c r="D314" t="s">
        <v>1212</v>
      </c>
      <c r="E314" t="s">
        <v>214</v>
      </c>
      <c r="F314" t="s">
        <v>1197</v>
      </c>
      <c r="G314">
        <v>1210112</v>
      </c>
      <c r="H314" s="3">
        <v>41456</v>
      </c>
      <c r="I314" t="s">
        <v>1198</v>
      </c>
      <c r="J314" t="s">
        <v>1170</v>
      </c>
      <c r="K314" t="s">
        <v>83</v>
      </c>
      <c r="L314">
        <v>15861203376</v>
      </c>
      <c r="N314">
        <v>5</v>
      </c>
      <c r="O314" s="2">
        <v>45600</v>
      </c>
      <c r="P314" s="2">
        <v>45965</v>
      </c>
      <c r="Q314" t="s">
        <v>65</v>
      </c>
      <c r="R314" t="s">
        <v>86</v>
      </c>
      <c r="S314" t="s">
        <v>1115</v>
      </c>
      <c r="T314" t="s">
        <v>1213</v>
      </c>
      <c r="U314" t="s">
        <v>214</v>
      </c>
      <c r="V314" t="s">
        <v>57</v>
      </c>
      <c r="W314" t="s">
        <v>243</v>
      </c>
      <c r="X314" t="s">
        <v>1019</v>
      </c>
      <c r="Y314">
        <v>51881762069</v>
      </c>
      <c r="Z314" t="s">
        <v>1023</v>
      </c>
      <c r="AA314" t="s">
        <v>159</v>
      </c>
      <c r="AB314" t="s">
        <v>65</v>
      </c>
      <c r="AC314">
        <v>740</v>
      </c>
      <c r="AD314" t="s">
        <v>69</v>
      </c>
      <c r="AE314">
        <v>40</v>
      </c>
      <c r="AF314">
        <v>168</v>
      </c>
      <c r="AK314">
        <v>75</v>
      </c>
      <c r="AN314">
        <v>22</v>
      </c>
      <c r="AP314" t="s">
        <v>1024</v>
      </c>
      <c r="AS314" t="s">
        <v>344</v>
      </c>
      <c r="AT314">
        <v>75</v>
      </c>
      <c r="AU314">
        <v>28</v>
      </c>
      <c r="AV314">
        <v>22</v>
      </c>
      <c r="AW314">
        <v>40</v>
      </c>
      <c r="AZ314">
        <v>222100</v>
      </c>
    </row>
    <row r="315" spans="1:57" x14ac:dyDescent="0.3">
      <c r="A315" s="7">
        <v>330</v>
      </c>
      <c r="B315" t="s">
        <v>1100</v>
      </c>
      <c r="C315">
        <v>9.1320707573760896E+17</v>
      </c>
      <c r="D315" t="s">
        <v>1214</v>
      </c>
      <c r="E315" t="s">
        <v>62</v>
      </c>
      <c r="F315" t="s">
        <v>1134</v>
      </c>
      <c r="G315" t="s">
        <v>1215</v>
      </c>
      <c r="H315" s="3">
        <v>41199</v>
      </c>
      <c r="I315" t="s">
        <v>1136</v>
      </c>
      <c r="J315" t="s">
        <v>1129</v>
      </c>
      <c r="K315" t="s">
        <v>1019</v>
      </c>
      <c r="L315">
        <v>15861203376</v>
      </c>
      <c r="N315">
        <v>5</v>
      </c>
      <c r="O315" s="2">
        <v>45840</v>
      </c>
      <c r="P315" s="2">
        <v>46570</v>
      </c>
      <c r="Q315" t="s">
        <v>65</v>
      </c>
      <c r="R315" t="s">
        <v>86</v>
      </c>
      <c r="S315" t="s">
        <v>1021</v>
      </c>
      <c r="T315" t="s">
        <v>1216</v>
      </c>
      <c r="U315" t="s">
        <v>67</v>
      </c>
      <c r="V315" t="s">
        <v>57</v>
      </c>
      <c r="W315" t="s">
        <v>1138</v>
      </c>
      <c r="X315" t="s">
        <v>1019</v>
      </c>
      <c r="Y315">
        <v>51881762069</v>
      </c>
      <c r="AA315" t="s">
        <v>159</v>
      </c>
      <c r="AB315" t="s">
        <v>65</v>
      </c>
      <c r="AC315">
        <v>1190</v>
      </c>
      <c r="AD315" t="s">
        <v>69</v>
      </c>
      <c r="AE315">
        <v>40</v>
      </c>
      <c r="AF315">
        <v>1720</v>
      </c>
      <c r="AP315" t="s">
        <v>1024</v>
      </c>
      <c r="AS315" t="s">
        <v>323</v>
      </c>
      <c r="AT315" t="s">
        <v>1139</v>
      </c>
      <c r="AU315" t="s">
        <v>1140</v>
      </c>
      <c r="AV315">
        <v>36</v>
      </c>
      <c r="AW315">
        <v>40</v>
      </c>
      <c r="AZ315">
        <v>222000</v>
      </c>
    </row>
    <row r="316" spans="1:57" x14ac:dyDescent="0.3">
      <c r="A316" s="7">
        <v>331</v>
      </c>
      <c r="B316" t="s">
        <v>1100</v>
      </c>
      <c r="C316">
        <v>9.1320707573760896E+17</v>
      </c>
      <c r="D316" t="s">
        <v>1217</v>
      </c>
      <c r="E316" t="s">
        <v>214</v>
      </c>
      <c r="F316" t="s">
        <v>341</v>
      </c>
      <c r="G316">
        <v>1010416</v>
      </c>
      <c r="H316" s="3">
        <v>41214</v>
      </c>
      <c r="I316" t="s">
        <v>1198</v>
      </c>
      <c r="J316" t="s">
        <v>1170</v>
      </c>
      <c r="K316" t="s">
        <v>1019</v>
      </c>
      <c r="L316">
        <v>15861203376</v>
      </c>
      <c r="N316">
        <v>2</v>
      </c>
      <c r="O316" s="2">
        <v>45600</v>
      </c>
      <c r="P316" s="2">
        <v>45965</v>
      </c>
      <c r="Q316" t="s">
        <v>65</v>
      </c>
      <c r="R316" t="s">
        <v>86</v>
      </c>
      <c r="S316" t="s">
        <v>1115</v>
      </c>
      <c r="T316" t="s">
        <v>1218</v>
      </c>
      <c r="U316" t="s">
        <v>214</v>
      </c>
      <c r="V316" t="s">
        <v>57</v>
      </c>
      <c r="W316" t="s">
        <v>243</v>
      </c>
      <c r="X316" t="s">
        <v>1019</v>
      </c>
      <c r="Y316">
        <v>51881762069</v>
      </c>
      <c r="Z316" t="s">
        <v>1023</v>
      </c>
      <c r="AA316" t="s">
        <v>159</v>
      </c>
      <c r="AB316" t="s">
        <v>65</v>
      </c>
      <c r="AC316">
        <v>515</v>
      </c>
      <c r="AD316" t="s">
        <v>69</v>
      </c>
      <c r="AE316">
        <v>25</v>
      </c>
      <c r="AF316">
        <v>102</v>
      </c>
      <c r="AK316">
        <v>76</v>
      </c>
      <c r="AN316">
        <v>15</v>
      </c>
      <c r="AP316" t="s">
        <v>1024</v>
      </c>
      <c r="AS316" t="s">
        <v>344</v>
      </c>
      <c r="AT316">
        <v>76</v>
      </c>
      <c r="AU316">
        <v>24</v>
      </c>
      <c r="AV316">
        <v>17</v>
      </c>
      <c r="AW316">
        <v>25</v>
      </c>
      <c r="AZ316">
        <v>222100</v>
      </c>
    </row>
    <row r="317" spans="1:57" x14ac:dyDescent="0.3">
      <c r="A317" s="7">
        <v>332</v>
      </c>
      <c r="B317" t="s">
        <v>1100</v>
      </c>
      <c r="C317">
        <v>9.1320707573760896E+17</v>
      </c>
      <c r="D317" t="s">
        <v>1219</v>
      </c>
      <c r="E317" t="s">
        <v>62</v>
      </c>
      <c r="F317" t="s">
        <v>1161</v>
      </c>
      <c r="G317" t="s">
        <v>1220</v>
      </c>
      <c r="H317" s="3">
        <v>41690</v>
      </c>
      <c r="I317" t="s">
        <v>1221</v>
      </c>
      <c r="J317" t="s">
        <v>1129</v>
      </c>
      <c r="K317" t="s">
        <v>1019</v>
      </c>
      <c r="L317">
        <v>15861203376</v>
      </c>
      <c r="N317" t="s">
        <v>884</v>
      </c>
      <c r="O317" s="2">
        <v>45379</v>
      </c>
      <c r="P317" s="2">
        <v>46109</v>
      </c>
      <c r="Q317" t="s">
        <v>65</v>
      </c>
      <c r="R317" t="s">
        <v>86</v>
      </c>
      <c r="S317" t="s">
        <v>1124</v>
      </c>
      <c r="T317" t="s">
        <v>1222</v>
      </c>
      <c r="U317" t="s">
        <v>67</v>
      </c>
      <c r="V317" t="s">
        <v>57</v>
      </c>
      <c r="W317" t="s">
        <v>243</v>
      </c>
      <c r="X317" t="s">
        <v>1019</v>
      </c>
      <c r="Y317">
        <v>15861203376</v>
      </c>
      <c r="Z317" t="s">
        <v>1023</v>
      </c>
      <c r="AA317" t="s">
        <v>159</v>
      </c>
      <c r="AB317" t="s">
        <v>65</v>
      </c>
      <c r="AC317">
        <v>950</v>
      </c>
      <c r="AD317" t="s">
        <v>69</v>
      </c>
      <c r="AE317">
        <v>40</v>
      </c>
      <c r="AF317">
        <v>1720</v>
      </c>
      <c r="AP317" t="s">
        <v>1024</v>
      </c>
      <c r="AQ317" t="s">
        <v>117</v>
      </c>
      <c r="AS317" t="s">
        <v>323</v>
      </c>
      <c r="AT317" t="s">
        <v>1190</v>
      </c>
      <c r="AU317">
        <f>-19-20/-19-32</f>
        <v>-49.94736842105263</v>
      </c>
      <c r="AV317">
        <v>36</v>
      </c>
      <c r="AW317">
        <v>40</v>
      </c>
      <c r="AZ317">
        <v>222100</v>
      </c>
    </row>
    <row r="318" spans="1:57" x14ac:dyDescent="0.3">
      <c r="A318" s="7">
        <v>333</v>
      </c>
      <c r="B318" t="s">
        <v>1100</v>
      </c>
      <c r="C318">
        <v>9.1320707573760896E+17</v>
      </c>
      <c r="D318" t="s">
        <v>1223</v>
      </c>
      <c r="E318" t="s">
        <v>62</v>
      </c>
      <c r="F318" t="s">
        <v>1161</v>
      </c>
      <c r="G318" t="s">
        <v>1224</v>
      </c>
      <c r="H318" s="3">
        <v>41690</v>
      </c>
      <c r="I318" t="s">
        <v>1225</v>
      </c>
      <c r="J318" t="s">
        <v>1129</v>
      </c>
      <c r="K318" t="s">
        <v>1019</v>
      </c>
      <c r="L318">
        <v>15861203376</v>
      </c>
      <c r="N318" t="s">
        <v>886</v>
      </c>
      <c r="O318" s="2">
        <v>45379</v>
      </c>
      <c r="P318" s="2">
        <v>46109</v>
      </c>
      <c r="Q318" t="s">
        <v>65</v>
      </c>
      <c r="R318" t="s">
        <v>86</v>
      </c>
      <c r="S318" t="s">
        <v>1124</v>
      </c>
      <c r="T318" t="s">
        <v>1226</v>
      </c>
      <c r="U318" t="s">
        <v>67</v>
      </c>
      <c r="V318" t="s">
        <v>57</v>
      </c>
      <c r="W318" t="s">
        <v>243</v>
      </c>
      <c r="X318" t="s">
        <v>1019</v>
      </c>
      <c r="Y318">
        <v>15861203376</v>
      </c>
      <c r="Z318" t="s">
        <v>1023</v>
      </c>
      <c r="AA318" t="s">
        <v>159</v>
      </c>
      <c r="AB318" t="s">
        <v>65</v>
      </c>
      <c r="AC318">
        <v>950</v>
      </c>
      <c r="AD318" t="s">
        <v>69</v>
      </c>
      <c r="AE318">
        <v>40</v>
      </c>
      <c r="AF318">
        <v>1720</v>
      </c>
      <c r="AP318" t="s">
        <v>1024</v>
      </c>
      <c r="AS318" t="s">
        <v>323</v>
      </c>
      <c r="AT318" t="s">
        <v>1190</v>
      </c>
      <c r="AU318">
        <f>-19-20/-19-32</f>
        <v>-49.94736842105263</v>
      </c>
      <c r="AV318">
        <v>36</v>
      </c>
      <c r="AW318">
        <v>40</v>
      </c>
      <c r="AZ318">
        <v>222100</v>
      </c>
    </row>
    <row r="319" spans="1:57" x14ac:dyDescent="0.3">
      <c r="A319" s="7">
        <v>334</v>
      </c>
      <c r="B319" t="s">
        <v>1100</v>
      </c>
      <c r="C319">
        <v>9.1320707573760896E+17</v>
      </c>
      <c r="D319" t="s">
        <v>1227</v>
      </c>
      <c r="E319" t="s">
        <v>124</v>
      </c>
      <c r="F319" t="s">
        <v>1228</v>
      </c>
      <c r="G319">
        <v>20160003</v>
      </c>
      <c r="H319" s="3">
        <v>42470</v>
      </c>
      <c r="I319" t="s">
        <v>1229</v>
      </c>
      <c r="J319" t="s">
        <v>1170</v>
      </c>
      <c r="K319" t="s">
        <v>1230</v>
      </c>
      <c r="L319">
        <v>15861203376</v>
      </c>
      <c r="N319" t="s">
        <v>83</v>
      </c>
      <c r="O319" s="2">
        <v>45379</v>
      </c>
      <c r="P319" s="2">
        <v>46109</v>
      </c>
      <c r="Q319" t="s">
        <v>65</v>
      </c>
      <c r="R319" t="s">
        <v>86</v>
      </c>
      <c r="S319" t="s">
        <v>1124</v>
      </c>
      <c r="T319" t="s">
        <v>1231</v>
      </c>
      <c r="U319" t="s">
        <v>124</v>
      </c>
      <c r="V319" t="s">
        <v>57</v>
      </c>
      <c r="W319" t="s">
        <v>184</v>
      </c>
      <c r="X319" t="s">
        <v>1019</v>
      </c>
      <c r="Y319">
        <v>13776592097</v>
      </c>
      <c r="Z319" t="s">
        <v>1023</v>
      </c>
      <c r="AA319" t="s">
        <v>159</v>
      </c>
      <c r="AB319" t="s">
        <v>65</v>
      </c>
      <c r="AC319">
        <v>600</v>
      </c>
      <c r="AD319" t="s">
        <v>69</v>
      </c>
      <c r="AE319">
        <v>10</v>
      </c>
      <c r="AH319">
        <v>13.3</v>
      </c>
      <c r="AK319">
        <v>6.5</v>
      </c>
      <c r="AO319" t="s">
        <v>83</v>
      </c>
      <c r="AP319" t="s">
        <v>1024</v>
      </c>
      <c r="AQ319" t="s">
        <v>94</v>
      </c>
      <c r="AS319" t="s">
        <v>1131</v>
      </c>
      <c r="AT319" t="s">
        <v>1132</v>
      </c>
      <c r="AU319">
        <v>9</v>
      </c>
      <c r="AV319">
        <v>15</v>
      </c>
      <c r="AW319">
        <v>10</v>
      </c>
      <c r="AZ319">
        <v>222100</v>
      </c>
    </row>
    <row r="320" spans="1:57" x14ac:dyDescent="0.3">
      <c r="A320" s="7">
        <v>335</v>
      </c>
      <c r="B320" t="s">
        <v>1100</v>
      </c>
      <c r="C320">
        <v>9.1320707573760896E+17</v>
      </c>
      <c r="D320" t="s">
        <v>1232</v>
      </c>
      <c r="E320" t="s">
        <v>62</v>
      </c>
      <c r="F320" t="s">
        <v>1161</v>
      </c>
      <c r="G320" t="s">
        <v>1233</v>
      </c>
      <c r="H320" s="3">
        <v>41690</v>
      </c>
      <c r="I320" t="s">
        <v>1221</v>
      </c>
      <c r="J320" t="s">
        <v>1129</v>
      </c>
      <c r="K320" t="s">
        <v>1019</v>
      </c>
      <c r="L320">
        <v>15861203376</v>
      </c>
      <c r="N320" t="s">
        <v>886</v>
      </c>
      <c r="O320" s="2">
        <v>45379</v>
      </c>
      <c r="P320" s="2">
        <v>46109</v>
      </c>
      <c r="Q320" t="s">
        <v>65</v>
      </c>
      <c r="R320" t="s">
        <v>86</v>
      </c>
      <c r="S320" t="s">
        <v>1124</v>
      </c>
      <c r="T320" t="s">
        <v>1234</v>
      </c>
      <c r="U320" t="s">
        <v>67</v>
      </c>
      <c r="V320" t="s">
        <v>57</v>
      </c>
      <c r="W320" t="s">
        <v>243</v>
      </c>
      <c r="X320" t="s">
        <v>1019</v>
      </c>
      <c r="Y320">
        <v>15861203376</v>
      </c>
      <c r="Z320" t="s">
        <v>1023</v>
      </c>
      <c r="AA320" t="s">
        <v>159</v>
      </c>
      <c r="AB320" t="s">
        <v>65</v>
      </c>
      <c r="AC320">
        <v>950</v>
      </c>
      <c r="AD320" t="s">
        <v>69</v>
      </c>
      <c r="AE320">
        <v>40</v>
      </c>
      <c r="AF320">
        <v>1720</v>
      </c>
      <c r="AP320" t="s">
        <v>1024</v>
      </c>
      <c r="AS320" t="s">
        <v>323</v>
      </c>
      <c r="AT320" t="s">
        <v>1190</v>
      </c>
      <c r="AU320">
        <f>-19-20/-19-32</f>
        <v>-49.94736842105263</v>
      </c>
      <c r="AV320">
        <v>36</v>
      </c>
      <c r="AW320">
        <v>40</v>
      </c>
      <c r="AZ320">
        <v>222100</v>
      </c>
    </row>
    <row r="321" spans="1:57" x14ac:dyDescent="0.3">
      <c r="A321" s="7">
        <v>336</v>
      </c>
      <c r="B321" t="s">
        <v>1235</v>
      </c>
      <c r="C321">
        <v>9.1320700566858099E+17</v>
      </c>
      <c r="D321" t="s">
        <v>1236</v>
      </c>
      <c r="E321" t="s">
        <v>235</v>
      </c>
      <c r="F321" t="s">
        <v>1237</v>
      </c>
      <c r="G321">
        <v>21032022</v>
      </c>
      <c r="H321" s="5">
        <v>44317</v>
      </c>
      <c r="I321" t="s">
        <v>1238</v>
      </c>
      <c r="J321" t="s">
        <v>1239</v>
      </c>
      <c r="K321" t="s">
        <v>1240</v>
      </c>
      <c r="L321">
        <v>13775597123</v>
      </c>
      <c r="N321" t="s">
        <v>83</v>
      </c>
      <c r="O321" s="2">
        <v>45800</v>
      </c>
      <c r="P321" s="2">
        <v>46530</v>
      </c>
      <c r="Q321" t="s">
        <v>65</v>
      </c>
      <c r="R321" t="s">
        <v>86</v>
      </c>
      <c r="S321" t="s">
        <v>155</v>
      </c>
      <c r="T321" t="s">
        <v>1241</v>
      </c>
      <c r="U321" t="s">
        <v>235</v>
      </c>
      <c r="V321" t="s">
        <v>57</v>
      </c>
      <c r="X321" t="s">
        <v>1240</v>
      </c>
      <c r="Y321">
        <v>13775597123</v>
      </c>
      <c r="AA321" t="s">
        <v>721</v>
      </c>
      <c r="AB321" t="s">
        <v>65</v>
      </c>
      <c r="AC321">
        <v>600</v>
      </c>
      <c r="AD321" t="s">
        <v>69</v>
      </c>
      <c r="AE321">
        <v>16</v>
      </c>
      <c r="AH321">
        <v>28.5</v>
      </c>
      <c r="AO321" t="s">
        <v>83</v>
      </c>
      <c r="AP321" t="s">
        <v>163</v>
      </c>
      <c r="AQ321" t="s">
        <v>94</v>
      </c>
      <c r="AS321" t="s">
        <v>1242</v>
      </c>
      <c r="AT321" t="s">
        <v>1243</v>
      </c>
      <c r="AU321">
        <v>9</v>
      </c>
      <c r="AV321">
        <v>18</v>
      </c>
      <c r="AW321">
        <v>16</v>
      </c>
      <c r="AZ321">
        <v>222042</v>
      </c>
      <c r="BB321" t="s">
        <v>473</v>
      </c>
      <c r="BD321" t="s">
        <v>474</v>
      </c>
      <c r="BE321" t="s">
        <v>475</v>
      </c>
    </row>
    <row r="322" spans="1:57" x14ac:dyDescent="0.3">
      <c r="A322" s="7">
        <v>337</v>
      </c>
      <c r="B322" t="s">
        <v>1235</v>
      </c>
      <c r="C322">
        <v>9.1320700566858099E+17</v>
      </c>
      <c r="D322" t="s">
        <v>1256</v>
      </c>
      <c r="E322" t="s">
        <v>459</v>
      </c>
      <c r="F322" t="s">
        <v>1245</v>
      </c>
      <c r="G322" t="s">
        <v>1257</v>
      </c>
      <c r="H322" t="s">
        <v>83</v>
      </c>
      <c r="I322" t="s">
        <v>1247</v>
      </c>
      <c r="J322" t="s">
        <v>1239</v>
      </c>
      <c r="K322" t="s">
        <v>1253</v>
      </c>
      <c r="L322">
        <v>13775597123</v>
      </c>
      <c r="N322" t="s">
        <v>1258</v>
      </c>
      <c r="O322" s="2">
        <v>45195</v>
      </c>
      <c r="P322" s="2">
        <v>45926</v>
      </c>
      <c r="Q322" t="s">
        <v>65</v>
      </c>
      <c r="R322" t="s">
        <v>86</v>
      </c>
      <c r="S322" t="s">
        <v>87</v>
      </c>
      <c r="T322" t="s">
        <v>1259</v>
      </c>
      <c r="U322" t="s">
        <v>1252</v>
      </c>
      <c r="V322" t="s">
        <v>57</v>
      </c>
      <c r="W322" t="s">
        <v>184</v>
      </c>
      <c r="X322" t="s">
        <v>1253</v>
      </c>
      <c r="Y322">
        <v>13961383619</v>
      </c>
      <c r="Z322" t="s">
        <v>113</v>
      </c>
      <c r="AA322" t="s">
        <v>159</v>
      </c>
      <c r="AB322" t="s">
        <v>65</v>
      </c>
      <c r="AC322">
        <v>1340</v>
      </c>
      <c r="AD322" t="s">
        <v>69</v>
      </c>
      <c r="AE322">
        <v>70</v>
      </c>
      <c r="AH322">
        <v>30</v>
      </c>
      <c r="AK322">
        <v>160</v>
      </c>
      <c r="AP322" t="s">
        <v>163</v>
      </c>
      <c r="AQ322" t="s">
        <v>117</v>
      </c>
      <c r="AS322" t="s">
        <v>1255</v>
      </c>
      <c r="AT322">
        <v>160</v>
      </c>
      <c r="AU322">
        <v>28</v>
      </c>
      <c r="AV322">
        <v>27</v>
      </c>
      <c r="AW322">
        <v>70</v>
      </c>
      <c r="AZ322">
        <v>222046</v>
      </c>
      <c r="BB322" t="s">
        <v>473</v>
      </c>
      <c r="BD322" t="s">
        <v>474</v>
      </c>
      <c r="BE322" t="s">
        <v>475</v>
      </c>
    </row>
    <row r="323" spans="1:57" x14ac:dyDescent="0.3">
      <c r="A323" s="7">
        <v>338</v>
      </c>
      <c r="B323" t="s">
        <v>1235</v>
      </c>
      <c r="C323">
        <v>9.1320700566858099E+17</v>
      </c>
      <c r="D323" t="s">
        <v>1260</v>
      </c>
      <c r="E323" t="s">
        <v>124</v>
      </c>
      <c r="F323" t="s">
        <v>1261</v>
      </c>
      <c r="G323">
        <v>8120793</v>
      </c>
      <c r="H323" t="s">
        <v>83</v>
      </c>
      <c r="I323" t="s">
        <v>1247</v>
      </c>
      <c r="J323" t="s">
        <v>1239</v>
      </c>
      <c r="K323" t="s">
        <v>1253</v>
      </c>
      <c r="L323">
        <v>13775597123</v>
      </c>
      <c r="N323" t="s">
        <v>1262</v>
      </c>
      <c r="O323" s="2">
        <v>45195</v>
      </c>
      <c r="P323" s="2">
        <v>45926</v>
      </c>
      <c r="Q323" t="s">
        <v>65</v>
      </c>
      <c r="R323" t="s">
        <v>86</v>
      </c>
      <c r="S323" t="s">
        <v>87</v>
      </c>
      <c r="T323" t="s">
        <v>1263</v>
      </c>
      <c r="U323" t="s">
        <v>1264</v>
      </c>
      <c r="V323" t="s">
        <v>57</v>
      </c>
      <c r="W323" t="s">
        <v>184</v>
      </c>
      <c r="X323" t="s">
        <v>1253</v>
      </c>
      <c r="Y323">
        <v>13961383619</v>
      </c>
      <c r="Z323" t="s">
        <v>113</v>
      </c>
      <c r="AA323" t="s">
        <v>159</v>
      </c>
      <c r="AB323" t="s">
        <v>65</v>
      </c>
      <c r="AC323">
        <v>600</v>
      </c>
      <c r="AD323" t="s">
        <v>69</v>
      </c>
      <c r="AE323">
        <v>10</v>
      </c>
      <c r="AH323">
        <v>19</v>
      </c>
      <c r="AK323">
        <v>7</v>
      </c>
      <c r="AP323" t="s">
        <v>93</v>
      </c>
      <c r="AQ323" t="s">
        <v>94</v>
      </c>
      <c r="AS323" t="s">
        <v>1265</v>
      </c>
      <c r="AT323">
        <v>7</v>
      </c>
      <c r="AU323">
        <v>24</v>
      </c>
      <c r="AV323">
        <v>15.5</v>
      </c>
      <c r="AW323">
        <v>10</v>
      </c>
      <c r="AZ323">
        <v>222046</v>
      </c>
      <c r="BB323" t="s">
        <v>1266</v>
      </c>
      <c r="BD323" t="s">
        <v>385</v>
      </c>
      <c r="BE323" t="s">
        <v>250</v>
      </c>
    </row>
    <row r="324" spans="1:57" x14ac:dyDescent="0.3">
      <c r="A324" s="7">
        <v>339</v>
      </c>
      <c r="B324" t="s">
        <v>1235</v>
      </c>
      <c r="C324">
        <v>9.1320700566858099E+17</v>
      </c>
      <c r="D324" t="s">
        <v>1267</v>
      </c>
      <c r="E324" t="s">
        <v>459</v>
      </c>
      <c r="F324" t="s">
        <v>1245</v>
      </c>
      <c r="G324" t="s">
        <v>1268</v>
      </c>
      <c r="H324" t="s">
        <v>83</v>
      </c>
      <c r="I324" t="s">
        <v>1247</v>
      </c>
      <c r="J324" t="s">
        <v>1239</v>
      </c>
      <c r="K324" t="s">
        <v>1253</v>
      </c>
      <c r="L324">
        <v>13775597123</v>
      </c>
      <c r="M324">
        <v>13775597123</v>
      </c>
      <c r="N324" t="s">
        <v>1269</v>
      </c>
      <c r="O324" s="2">
        <v>45195</v>
      </c>
      <c r="P324" s="2">
        <v>45926</v>
      </c>
      <c r="Q324" t="s">
        <v>65</v>
      </c>
      <c r="R324" t="s">
        <v>86</v>
      </c>
      <c r="S324" t="s">
        <v>87</v>
      </c>
      <c r="T324" t="s">
        <v>1270</v>
      </c>
      <c r="U324" t="s">
        <v>1252</v>
      </c>
      <c r="V324" t="s">
        <v>57</v>
      </c>
      <c r="W324" t="s">
        <v>184</v>
      </c>
      <c r="X324" t="s">
        <v>1253</v>
      </c>
      <c r="Y324">
        <v>13961383619</v>
      </c>
      <c r="Z324" t="s">
        <v>113</v>
      </c>
      <c r="AA324" t="s">
        <v>159</v>
      </c>
      <c r="AB324" t="s">
        <v>65</v>
      </c>
      <c r="AC324">
        <v>1340</v>
      </c>
      <c r="AD324" t="s">
        <v>69</v>
      </c>
      <c r="AE324">
        <v>70</v>
      </c>
      <c r="AH324">
        <v>30</v>
      </c>
      <c r="AK324">
        <v>160</v>
      </c>
      <c r="AP324" t="s">
        <v>163</v>
      </c>
      <c r="AQ324" t="s">
        <v>117</v>
      </c>
      <c r="AS324" t="s">
        <v>1255</v>
      </c>
      <c r="AT324">
        <v>160</v>
      </c>
      <c r="AU324">
        <v>28</v>
      </c>
      <c r="AV324">
        <v>27</v>
      </c>
      <c r="AW324">
        <v>70</v>
      </c>
      <c r="AZ324">
        <v>222046</v>
      </c>
      <c r="BB324" t="s">
        <v>473</v>
      </c>
      <c r="BD324" t="s">
        <v>474</v>
      </c>
      <c r="BE324" t="s">
        <v>475</v>
      </c>
    </row>
    <row r="325" spans="1:57" x14ac:dyDescent="0.3">
      <c r="A325" s="7">
        <v>340</v>
      </c>
      <c r="B325" t="s">
        <v>1235</v>
      </c>
      <c r="C325">
        <v>9.1320700566858099E+17</v>
      </c>
      <c r="D325" t="s">
        <v>1271</v>
      </c>
      <c r="E325" t="s">
        <v>459</v>
      </c>
      <c r="F325" t="s">
        <v>1245</v>
      </c>
      <c r="G325" t="s">
        <v>1272</v>
      </c>
      <c r="H325" t="s">
        <v>83</v>
      </c>
      <c r="I325" t="s">
        <v>1247</v>
      </c>
      <c r="J325" t="s">
        <v>1239</v>
      </c>
      <c r="K325" t="s">
        <v>1253</v>
      </c>
      <c r="L325">
        <v>13775597123</v>
      </c>
      <c r="M325">
        <v>13775597123</v>
      </c>
      <c r="N325" t="s">
        <v>1273</v>
      </c>
      <c r="O325" s="2">
        <v>45195</v>
      </c>
      <c r="P325" s="2">
        <v>45926</v>
      </c>
      <c r="Q325" t="s">
        <v>65</v>
      </c>
      <c r="R325" t="s">
        <v>86</v>
      </c>
      <c r="S325" t="s">
        <v>87</v>
      </c>
      <c r="T325" t="s">
        <v>1274</v>
      </c>
      <c r="U325" t="s">
        <v>1252</v>
      </c>
      <c r="V325" t="s">
        <v>57</v>
      </c>
      <c r="W325" t="s">
        <v>184</v>
      </c>
      <c r="X325" t="s">
        <v>1253</v>
      </c>
      <c r="Y325">
        <v>13961383619</v>
      </c>
      <c r="Z325" t="s">
        <v>113</v>
      </c>
      <c r="AA325" t="s">
        <v>159</v>
      </c>
      <c r="AB325" t="s">
        <v>65</v>
      </c>
      <c r="AC325">
        <v>1340</v>
      </c>
      <c r="AD325" t="s">
        <v>69</v>
      </c>
      <c r="AE325">
        <v>70</v>
      </c>
      <c r="AH325">
        <v>30</v>
      </c>
      <c r="AK325">
        <v>160</v>
      </c>
      <c r="AP325" t="s">
        <v>163</v>
      </c>
      <c r="AQ325" t="s">
        <v>117</v>
      </c>
      <c r="AS325" t="s">
        <v>1255</v>
      </c>
      <c r="AT325">
        <v>160</v>
      </c>
      <c r="AU325">
        <v>28</v>
      </c>
      <c r="AV325">
        <v>27</v>
      </c>
      <c r="AW325">
        <v>70</v>
      </c>
      <c r="AZ325">
        <v>222046</v>
      </c>
      <c r="BB325" t="s">
        <v>473</v>
      </c>
      <c r="BD325" t="s">
        <v>474</v>
      </c>
      <c r="BE325" t="s">
        <v>475</v>
      </c>
    </row>
    <row r="326" spans="1:57" x14ac:dyDescent="0.3">
      <c r="A326" s="7">
        <v>341</v>
      </c>
      <c r="B326" t="s">
        <v>1235</v>
      </c>
      <c r="C326">
        <v>9.1320700566858099E+17</v>
      </c>
      <c r="D326" t="s">
        <v>1275</v>
      </c>
      <c r="E326" t="s">
        <v>75</v>
      </c>
      <c r="F326" t="s">
        <v>1276</v>
      </c>
      <c r="G326">
        <v>152500477</v>
      </c>
      <c r="H326" t="s">
        <v>83</v>
      </c>
      <c r="I326" t="s">
        <v>496</v>
      </c>
      <c r="J326" t="s">
        <v>1239</v>
      </c>
      <c r="K326" t="s">
        <v>1253</v>
      </c>
      <c r="L326">
        <v>13775597123</v>
      </c>
      <c r="N326" t="s">
        <v>225</v>
      </c>
      <c r="O326" s="2">
        <v>45195</v>
      </c>
      <c r="P326" s="2">
        <v>45926</v>
      </c>
      <c r="Q326" t="s">
        <v>65</v>
      </c>
      <c r="R326" t="s">
        <v>86</v>
      </c>
      <c r="S326" t="s">
        <v>87</v>
      </c>
      <c r="T326" t="s">
        <v>1277</v>
      </c>
      <c r="U326" t="s">
        <v>75</v>
      </c>
      <c r="V326" t="s">
        <v>57</v>
      </c>
      <c r="W326" t="s">
        <v>184</v>
      </c>
      <c r="X326" t="s">
        <v>1253</v>
      </c>
      <c r="Y326">
        <v>13961383619</v>
      </c>
      <c r="Z326" t="s">
        <v>113</v>
      </c>
      <c r="AA326" t="s">
        <v>159</v>
      </c>
      <c r="AB326" t="s">
        <v>65</v>
      </c>
      <c r="AC326">
        <v>450</v>
      </c>
      <c r="AD326" t="s">
        <v>69</v>
      </c>
      <c r="AE326">
        <v>3</v>
      </c>
      <c r="AH326">
        <v>10</v>
      </c>
      <c r="AP326" t="s">
        <v>163</v>
      </c>
      <c r="AQ326" t="s">
        <v>94</v>
      </c>
      <c r="AS326" t="s">
        <v>1278</v>
      </c>
      <c r="AT326">
        <v>8</v>
      </c>
      <c r="AU326">
        <v>6</v>
      </c>
      <c r="AV326">
        <v>14</v>
      </c>
      <c r="AW326">
        <v>3</v>
      </c>
      <c r="AZ326">
        <v>222046</v>
      </c>
      <c r="BB326" t="s">
        <v>1266</v>
      </c>
      <c r="BD326" t="s">
        <v>385</v>
      </c>
      <c r="BE326" t="s">
        <v>250</v>
      </c>
    </row>
    <row r="327" spans="1:57" x14ac:dyDescent="0.3">
      <c r="A327" s="7">
        <v>342</v>
      </c>
      <c r="B327" t="s">
        <v>1235</v>
      </c>
      <c r="C327">
        <v>9.1320700566858099E+17</v>
      </c>
      <c r="D327" t="s">
        <v>1244</v>
      </c>
      <c r="E327" t="s">
        <v>459</v>
      </c>
      <c r="F327" t="s">
        <v>1245</v>
      </c>
      <c r="G327" t="s">
        <v>1246</v>
      </c>
      <c r="H327" t="s">
        <v>83</v>
      </c>
      <c r="I327" t="s">
        <v>1247</v>
      </c>
      <c r="J327" t="s">
        <v>1248</v>
      </c>
      <c r="K327" t="s">
        <v>1249</v>
      </c>
      <c r="L327">
        <v>15151260621</v>
      </c>
      <c r="M327">
        <v>15151260621</v>
      </c>
      <c r="N327" t="s">
        <v>1250</v>
      </c>
      <c r="O327" s="2">
        <v>45195</v>
      </c>
      <c r="P327" s="2">
        <v>45926</v>
      </c>
      <c r="Q327" t="s">
        <v>65</v>
      </c>
      <c r="R327" t="s">
        <v>638</v>
      </c>
      <c r="S327" t="s">
        <v>87</v>
      </c>
      <c r="T327" t="s">
        <v>1251</v>
      </c>
      <c r="U327" t="s">
        <v>1252</v>
      </c>
      <c r="V327" t="s">
        <v>57</v>
      </c>
      <c r="W327" t="s">
        <v>184</v>
      </c>
      <c r="X327" t="s">
        <v>1253</v>
      </c>
      <c r="Y327">
        <v>13961383619</v>
      </c>
      <c r="Z327" t="s">
        <v>113</v>
      </c>
      <c r="AA327" t="s">
        <v>159</v>
      </c>
      <c r="AB327" t="s">
        <v>65</v>
      </c>
      <c r="AC327">
        <v>1340</v>
      </c>
      <c r="AD327" t="s">
        <v>69</v>
      </c>
      <c r="AE327">
        <v>70</v>
      </c>
      <c r="AH327">
        <v>30</v>
      </c>
      <c r="AK327">
        <v>160</v>
      </c>
      <c r="AP327" t="s">
        <v>163</v>
      </c>
      <c r="AQ327" t="s">
        <v>117</v>
      </c>
      <c r="AR327" t="s">
        <v>1254</v>
      </c>
      <c r="AS327" t="s">
        <v>1255</v>
      </c>
      <c r="AT327">
        <v>160</v>
      </c>
      <c r="AU327">
        <v>28</v>
      </c>
      <c r="AV327">
        <v>27</v>
      </c>
      <c r="AW327">
        <v>70</v>
      </c>
      <c r="AZ327">
        <v>222046</v>
      </c>
      <c r="BB327" t="s">
        <v>473</v>
      </c>
      <c r="BD327" t="s">
        <v>474</v>
      </c>
      <c r="BE327" t="s">
        <v>475</v>
      </c>
    </row>
    <row r="328" spans="1:57" x14ac:dyDescent="0.3">
      <c r="A328" s="7">
        <v>343</v>
      </c>
      <c r="B328" t="s">
        <v>2136</v>
      </c>
      <c r="C328">
        <v>9.1320700069534605E+17</v>
      </c>
      <c r="D328" t="s">
        <v>2137</v>
      </c>
      <c r="E328" t="s">
        <v>62</v>
      </c>
      <c r="F328" t="s">
        <v>2138</v>
      </c>
      <c r="G328" t="s">
        <v>2139</v>
      </c>
      <c r="H328" s="5">
        <v>45505</v>
      </c>
      <c r="I328" t="s">
        <v>2140</v>
      </c>
      <c r="J328" t="s">
        <v>2141</v>
      </c>
      <c r="K328" t="s">
        <v>2142</v>
      </c>
      <c r="L328">
        <v>15240337632</v>
      </c>
      <c r="M328">
        <v>15240337632</v>
      </c>
      <c r="N328">
        <v>14</v>
      </c>
      <c r="O328" s="2">
        <v>45547</v>
      </c>
      <c r="P328" s="2">
        <v>46277</v>
      </c>
      <c r="Q328" t="s">
        <v>65</v>
      </c>
      <c r="R328" t="s">
        <v>86</v>
      </c>
      <c r="S328" t="s">
        <v>2143</v>
      </c>
      <c r="T328" t="s">
        <v>2144</v>
      </c>
      <c r="U328" t="s">
        <v>62</v>
      </c>
      <c r="V328" t="s">
        <v>57</v>
      </c>
      <c r="Z328" t="s">
        <v>1319</v>
      </c>
      <c r="AA328" t="s">
        <v>114</v>
      </c>
      <c r="AB328" t="s">
        <v>68</v>
      </c>
      <c r="AD328" t="s">
        <v>69</v>
      </c>
      <c r="AE328">
        <v>50</v>
      </c>
      <c r="AF328">
        <v>1750</v>
      </c>
      <c r="AO328" t="s">
        <v>83</v>
      </c>
      <c r="AP328" t="s">
        <v>2145</v>
      </c>
      <c r="AQ328" t="s">
        <v>117</v>
      </c>
      <c r="AR328" t="s">
        <v>2146</v>
      </c>
      <c r="AT328" t="s">
        <v>1508</v>
      </c>
      <c r="AU328" t="s">
        <v>2147</v>
      </c>
      <c r="AV328">
        <v>40</v>
      </c>
      <c r="AZ328">
        <v>222000</v>
      </c>
      <c r="BA328" t="s">
        <v>2148</v>
      </c>
    </row>
    <row r="329" spans="1:57" x14ac:dyDescent="0.3">
      <c r="A329" s="7">
        <v>344</v>
      </c>
      <c r="B329" t="s">
        <v>2136</v>
      </c>
      <c r="C329">
        <v>9.1320700069534605E+17</v>
      </c>
      <c r="D329" t="s">
        <v>2149</v>
      </c>
      <c r="E329" t="s">
        <v>62</v>
      </c>
      <c r="F329" t="s">
        <v>2138</v>
      </c>
      <c r="G329" t="s">
        <v>2150</v>
      </c>
      <c r="H329" s="5">
        <v>45474</v>
      </c>
      <c r="I329" t="s">
        <v>2140</v>
      </c>
      <c r="J329" t="s">
        <v>2141</v>
      </c>
      <c r="K329" t="s">
        <v>2142</v>
      </c>
      <c r="L329">
        <v>15240337632</v>
      </c>
      <c r="M329">
        <v>15240337632</v>
      </c>
      <c r="N329">
        <v>11</v>
      </c>
      <c r="O329" s="2">
        <v>45544</v>
      </c>
      <c r="P329" s="2">
        <v>46274</v>
      </c>
      <c r="Q329" t="s">
        <v>65</v>
      </c>
      <c r="R329" t="s">
        <v>86</v>
      </c>
      <c r="S329" t="s">
        <v>2143</v>
      </c>
      <c r="T329" t="s">
        <v>2151</v>
      </c>
      <c r="U329" t="s">
        <v>62</v>
      </c>
      <c r="V329" t="s">
        <v>57</v>
      </c>
      <c r="Z329" t="s">
        <v>1319</v>
      </c>
      <c r="AA329" t="s">
        <v>114</v>
      </c>
      <c r="AB329" t="s">
        <v>68</v>
      </c>
      <c r="AD329" t="s">
        <v>69</v>
      </c>
      <c r="AE329">
        <v>50</v>
      </c>
      <c r="AF329">
        <v>1750</v>
      </c>
      <c r="AO329" t="s">
        <v>83</v>
      </c>
      <c r="AP329" t="s">
        <v>2145</v>
      </c>
      <c r="AQ329" t="s">
        <v>117</v>
      </c>
      <c r="AR329" t="s">
        <v>2152</v>
      </c>
      <c r="AT329" t="s">
        <v>1508</v>
      </c>
      <c r="AU329" t="s">
        <v>2147</v>
      </c>
      <c r="AV329">
        <v>40</v>
      </c>
      <c r="AZ329">
        <v>222000</v>
      </c>
      <c r="BA329" t="s">
        <v>2148</v>
      </c>
    </row>
    <row r="330" spans="1:57" x14ac:dyDescent="0.3">
      <c r="A330" s="7">
        <v>345</v>
      </c>
      <c r="B330" t="s">
        <v>2136</v>
      </c>
      <c r="C330">
        <v>9.1320700069534605E+17</v>
      </c>
      <c r="D330" t="s">
        <v>2153</v>
      </c>
      <c r="E330" t="s">
        <v>62</v>
      </c>
      <c r="F330" t="s">
        <v>2138</v>
      </c>
      <c r="G330" t="s">
        <v>2154</v>
      </c>
      <c r="H330" s="5">
        <v>45474</v>
      </c>
      <c r="I330" t="s">
        <v>2140</v>
      </c>
      <c r="J330" t="s">
        <v>2141</v>
      </c>
      <c r="K330" t="s">
        <v>2142</v>
      </c>
      <c r="L330">
        <v>15240337632</v>
      </c>
      <c r="M330">
        <v>15240337632</v>
      </c>
      <c r="N330">
        <v>13</v>
      </c>
      <c r="O330" s="2">
        <v>45544</v>
      </c>
      <c r="P330" s="2">
        <v>46274</v>
      </c>
      <c r="Q330" t="s">
        <v>65</v>
      </c>
      <c r="R330" t="s">
        <v>86</v>
      </c>
      <c r="S330" t="s">
        <v>2143</v>
      </c>
      <c r="T330" t="s">
        <v>2155</v>
      </c>
      <c r="U330" t="s">
        <v>62</v>
      </c>
      <c r="V330" t="s">
        <v>57</v>
      </c>
      <c r="Z330" t="s">
        <v>1319</v>
      </c>
      <c r="AA330" t="s">
        <v>114</v>
      </c>
      <c r="AB330" t="s">
        <v>68</v>
      </c>
      <c r="AD330" t="s">
        <v>69</v>
      </c>
      <c r="AE330">
        <v>50</v>
      </c>
      <c r="AF330">
        <v>1750</v>
      </c>
      <c r="AO330" t="s">
        <v>83</v>
      </c>
      <c r="AP330" t="s">
        <v>2145</v>
      </c>
      <c r="AQ330" t="s">
        <v>117</v>
      </c>
      <c r="AR330" t="s">
        <v>2156</v>
      </c>
      <c r="AT330" t="s">
        <v>1508</v>
      </c>
      <c r="AU330" t="s">
        <v>2147</v>
      </c>
      <c r="AV330">
        <v>40</v>
      </c>
      <c r="AZ330">
        <v>222000</v>
      </c>
      <c r="BA330" t="s">
        <v>2148</v>
      </c>
    </row>
    <row r="331" spans="1:57" x14ac:dyDescent="0.3">
      <c r="A331" s="7">
        <v>346</v>
      </c>
      <c r="B331" t="s">
        <v>2136</v>
      </c>
      <c r="C331">
        <v>9.1320700069534605E+17</v>
      </c>
      <c r="D331" t="s">
        <v>2157</v>
      </c>
      <c r="E331" t="s">
        <v>62</v>
      </c>
      <c r="F331" t="s">
        <v>2138</v>
      </c>
      <c r="G331" t="s">
        <v>2158</v>
      </c>
      <c r="H331" s="5">
        <v>45474</v>
      </c>
      <c r="I331" t="s">
        <v>2140</v>
      </c>
      <c r="J331" t="s">
        <v>2141</v>
      </c>
      <c r="K331" t="s">
        <v>2142</v>
      </c>
      <c r="L331">
        <v>15240337632</v>
      </c>
      <c r="M331">
        <v>15240337632</v>
      </c>
      <c r="N331">
        <v>12</v>
      </c>
      <c r="O331" s="2">
        <v>45544</v>
      </c>
      <c r="P331" s="2">
        <v>46274</v>
      </c>
      <c r="Q331" t="s">
        <v>65</v>
      </c>
      <c r="R331" t="s">
        <v>86</v>
      </c>
      <c r="S331" t="s">
        <v>2143</v>
      </c>
      <c r="T331" t="s">
        <v>2159</v>
      </c>
      <c r="U331" t="s">
        <v>62</v>
      </c>
      <c r="V331" t="s">
        <v>57</v>
      </c>
      <c r="Z331" t="s">
        <v>1319</v>
      </c>
      <c r="AA331" t="s">
        <v>114</v>
      </c>
      <c r="AB331" t="s">
        <v>68</v>
      </c>
      <c r="AD331" t="s">
        <v>69</v>
      </c>
      <c r="AE331">
        <v>50</v>
      </c>
      <c r="AF331">
        <v>1750</v>
      </c>
      <c r="AO331" t="s">
        <v>83</v>
      </c>
      <c r="AP331" t="s">
        <v>2145</v>
      </c>
      <c r="AQ331" t="s">
        <v>117</v>
      </c>
      <c r="AR331" t="s">
        <v>2160</v>
      </c>
      <c r="AT331" t="s">
        <v>1508</v>
      </c>
      <c r="AU331" t="s">
        <v>2147</v>
      </c>
      <c r="AV331">
        <v>40</v>
      </c>
      <c r="AZ331">
        <v>222000</v>
      </c>
      <c r="BA331" t="s">
        <v>2148</v>
      </c>
    </row>
    <row r="332" spans="1:57" x14ac:dyDescent="0.3">
      <c r="A332" s="7">
        <v>347</v>
      </c>
      <c r="B332" t="s">
        <v>2136</v>
      </c>
      <c r="C332">
        <v>9.1320700069534605E+17</v>
      </c>
      <c r="D332" t="s">
        <v>2161</v>
      </c>
      <c r="E332" t="s">
        <v>214</v>
      </c>
      <c r="F332" t="s">
        <v>1490</v>
      </c>
      <c r="G332">
        <v>1450132</v>
      </c>
      <c r="H332">
        <v>2021.08</v>
      </c>
      <c r="I332" t="s">
        <v>216</v>
      </c>
      <c r="J332" t="s">
        <v>2141</v>
      </c>
      <c r="L332">
        <v>15189015203</v>
      </c>
      <c r="O332" s="2">
        <v>45596</v>
      </c>
      <c r="P332" s="2">
        <v>45960</v>
      </c>
      <c r="Q332" t="s">
        <v>65</v>
      </c>
      <c r="R332" t="s">
        <v>86</v>
      </c>
      <c r="S332" t="s">
        <v>280</v>
      </c>
      <c r="T332" t="s">
        <v>2162</v>
      </c>
      <c r="U332" t="s">
        <v>214</v>
      </c>
      <c r="V332" t="s">
        <v>57</v>
      </c>
      <c r="AA332" t="s">
        <v>159</v>
      </c>
      <c r="AB332" t="s">
        <v>65</v>
      </c>
      <c r="AC332">
        <v>815</v>
      </c>
      <c r="AD332" t="s">
        <v>69</v>
      </c>
      <c r="AE332">
        <v>45</v>
      </c>
      <c r="AF332">
        <v>280</v>
      </c>
      <c r="AP332" t="s">
        <v>93</v>
      </c>
      <c r="AT332" t="s">
        <v>1534</v>
      </c>
      <c r="AU332">
        <v>19.5</v>
      </c>
      <c r="AV332">
        <v>22</v>
      </c>
      <c r="AZ332">
        <v>222000</v>
      </c>
    </row>
    <row r="333" spans="1:57" x14ac:dyDescent="0.3">
      <c r="A333" s="7">
        <v>348</v>
      </c>
      <c r="B333" t="s">
        <v>2136</v>
      </c>
      <c r="C333">
        <v>9.1320700069534605E+17</v>
      </c>
      <c r="D333" t="s">
        <v>2163</v>
      </c>
      <c r="E333" t="s">
        <v>62</v>
      </c>
      <c r="F333" t="s">
        <v>922</v>
      </c>
      <c r="G333" t="s">
        <v>2164</v>
      </c>
      <c r="I333" t="s">
        <v>2165</v>
      </c>
      <c r="J333" t="s">
        <v>2141</v>
      </c>
      <c r="K333" t="s">
        <v>2166</v>
      </c>
      <c r="L333">
        <v>15240337632</v>
      </c>
      <c r="N333">
        <v>7</v>
      </c>
      <c r="O333" s="2">
        <v>45249</v>
      </c>
      <c r="P333" s="2">
        <v>45980</v>
      </c>
      <c r="Q333" t="s">
        <v>65</v>
      </c>
      <c r="R333" t="s">
        <v>86</v>
      </c>
      <c r="S333" t="s">
        <v>861</v>
      </c>
      <c r="T333" t="s">
        <v>2167</v>
      </c>
      <c r="U333" t="s">
        <v>930</v>
      </c>
      <c r="V333" t="s">
        <v>57</v>
      </c>
      <c r="X333" t="s">
        <v>2166</v>
      </c>
      <c r="Y333">
        <v>18260381825</v>
      </c>
      <c r="AA333" t="s">
        <v>159</v>
      </c>
      <c r="AB333" t="s">
        <v>65</v>
      </c>
      <c r="AC333">
        <v>950</v>
      </c>
      <c r="AD333" t="s">
        <v>69</v>
      </c>
      <c r="AE333">
        <v>40</v>
      </c>
      <c r="AF333">
        <v>1720</v>
      </c>
      <c r="AP333" t="s">
        <v>2145</v>
      </c>
      <c r="AS333" t="s">
        <v>323</v>
      </c>
      <c r="AT333" t="s">
        <v>1166</v>
      </c>
      <c r="AU333" t="s">
        <v>2168</v>
      </c>
      <c r="AV333">
        <v>40</v>
      </c>
      <c r="AW333">
        <v>40</v>
      </c>
      <c r="AZ333">
        <v>222000</v>
      </c>
    </row>
    <row r="334" spans="1:57" x14ac:dyDescent="0.3">
      <c r="A334" s="7">
        <v>349</v>
      </c>
      <c r="B334" t="s">
        <v>2136</v>
      </c>
      <c r="C334">
        <v>9.1320700069534605E+17</v>
      </c>
      <c r="D334" t="s">
        <v>2169</v>
      </c>
      <c r="E334" t="s">
        <v>62</v>
      </c>
      <c r="F334" t="s">
        <v>922</v>
      </c>
      <c r="G334" t="s">
        <v>2170</v>
      </c>
      <c r="I334" t="s">
        <v>2165</v>
      </c>
      <c r="J334" t="s">
        <v>2141</v>
      </c>
      <c r="K334" t="s">
        <v>2166</v>
      </c>
      <c r="L334">
        <v>15240337632</v>
      </c>
      <c r="N334">
        <v>6</v>
      </c>
      <c r="O334" s="2">
        <v>45249</v>
      </c>
      <c r="P334" s="2">
        <v>45980</v>
      </c>
      <c r="Q334" t="s">
        <v>65</v>
      </c>
      <c r="R334" t="s">
        <v>86</v>
      </c>
      <c r="S334" t="s">
        <v>861</v>
      </c>
      <c r="T334" t="s">
        <v>2171</v>
      </c>
      <c r="U334" t="s">
        <v>930</v>
      </c>
      <c r="V334" t="s">
        <v>57</v>
      </c>
      <c r="X334" t="s">
        <v>2166</v>
      </c>
      <c r="Y334">
        <v>18260381825</v>
      </c>
      <c r="AA334" t="s">
        <v>159</v>
      </c>
      <c r="AB334" t="s">
        <v>65</v>
      </c>
      <c r="AC334">
        <v>950</v>
      </c>
      <c r="AD334" t="s">
        <v>69</v>
      </c>
      <c r="AE334">
        <v>40</v>
      </c>
      <c r="AF334">
        <v>1720</v>
      </c>
      <c r="AP334" t="s">
        <v>2145</v>
      </c>
      <c r="AS334" t="s">
        <v>323</v>
      </c>
      <c r="AT334" t="s">
        <v>1166</v>
      </c>
      <c r="AU334" t="s">
        <v>2168</v>
      </c>
      <c r="AV334">
        <v>40</v>
      </c>
      <c r="AW334">
        <v>40</v>
      </c>
      <c r="AZ334">
        <v>222000</v>
      </c>
    </row>
    <row r="335" spans="1:57" x14ac:dyDescent="0.3">
      <c r="A335" s="7">
        <v>350</v>
      </c>
      <c r="B335" t="s">
        <v>2136</v>
      </c>
      <c r="C335">
        <v>9.1320700069534605E+17</v>
      </c>
      <c r="D335" t="s">
        <v>2172</v>
      </c>
      <c r="E335" t="s">
        <v>62</v>
      </c>
      <c r="F335" t="s">
        <v>922</v>
      </c>
      <c r="G335" t="s">
        <v>2173</v>
      </c>
      <c r="I335" t="s">
        <v>2165</v>
      </c>
      <c r="J335" t="s">
        <v>2141</v>
      </c>
      <c r="K335" t="s">
        <v>2166</v>
      </c>
      <c r="L335">
        <v>15240337632</v>
      </c>
      <c r="N335">
        <v>8</v>
      </c>
      <c r="O335" s="2">
        <v>45249</v>
      </c>
      <c r="P335" s="2">
        <v>45980</v>
      </c>
      <c r="Q335" t="s">
        <v>65</v>
      </c>
      <c r="R335" t="s">
        <v>86</v>
      </c>
      <c r="S335" t="s">
        <v>861</v>
      </c>
      <c r="T335" t="s">
        <v>2174</v>
      </c>
      <c r="U335" t="s">
        <v>930</v>
      </c>
      <c r="V335" t="s">
        <v>57</v>
      </c>
      <c r="X335" t="s">
        <v>2166</v>
      </c>
      <c r="Y335">
        <v>18260381825</v>
      </c>
      <c r="AA335" t="s">
        <v>159</v>
      </c>
      <c r="AB335" t="s">
        <v>65</v>
      </c>
      <c r="AC335">
        <v>950</v>
      </c>
      <c r="AD335" t="s">
        <v>69</v>
      </c>
      <c r="AE335">
        <v>40</v>
      </c>
      <c r="AF335">
        <v>1720</v>
      </c>
      <c r="AP335" t="s">
        <v>2145</v>
      </c>
      <c r="AS335" t="s">
        <v>323</v>
      </c>
      <c r="AT335" t="s">
        <v>1166</v>
      </c>
      <c r="AU335" t="s">
        <v>2168</v>
      </c>
      <c r="AV335">
        <v>40</v>
      </c>
      <c r="AW335">
        <v>40</v>
      </c>
      <c r="AZ335">
        <v>222000</v>
      </c>
    </row>
    <row r="336" spans="1:57" x14ac:dyDescent="0.3">
      <c r="A336" s="7">
        <v>351</v>
      </c>
      <c r="B336" t="s">
        <v>2136</v>
      </c>
      <c r="C336">
        <v>9.1320700069534605E+17</v>
      </c>
      <c r="D336" t="s">
        <v>2175</v>
      </c>
      <c r="E336" t="s">
        <v>62</v>
      </c>
      <c r="F336" t="s">
        <v>922</v>
      </c>
      <c r="G336" t="s">
        <v>2176</v>
      </c>
      <c r="I336" t="s">
        <v>2165</v>
      </c>
      <c r="J336" t="s">
        <v>2141</v>
      </c>
      <c r="K336" t="s">
        <v>2166</v>
      </c>
      <c r="L336">
        <v>15240337632</v>
      </c>
      <c r="N336">
        <v>10</v>
      </c>
      <c r="O336" s="2">
        <v>45249</v>
      </c>
      <c r="P336" s="2">
        <v>45980</v>
      </c>
      <c r="Q336" t="s">
        <v>65</v>
      </c>
      <c r="R336" t="s">
        <v>86</v>
      </c>
      <c r="S336" t="s">
        <v>861</v>
      </c>
      <c r="T336" t="s">
        <v>2177</v>
      </c>
      <c r="U336" t="s">
        <v>930</v>
      </c>
      <c r="V336" t="s">
        <v>57</v>
      </c>
      <c r="X336" t="s">
        <v>2166</v>
      </c>
      <c r="Y336">
        <v>18260381825</v>
      </c>
      <c r="AA336" t="s">
        <v>159</v>
      </c>
      <c r="AB336" t="s">
        <v>65</v>
      </c>
      <c r="AC336">
        <v>950</v>
      </c>
      <c r="AD336" t="s">
        <v>69</v>
      </c>
      <c r="AE336">
        <v>40</v>
      </c>
      <c r="AF336">
        <v>1720</v>
      </c>
      <c r="AP336" t="s">
        <v>2145</v>
      </c>
      <c r="AS336" t="s">
        <v>323</v>
      </c>
      <c r="AT336" t="s">
        <v>1166</v>
      </c>
      <c r="AU336" t="s">
        <v>2168</v>
      </c>
      <c r="AV336">
        <v>40</v>
      </c>
      <c r="AW336">
        <v>40</v>
      </c>
      <c r="AZ336">
        <v>222000</v>
      </c>
    </row>
    <row r="337" spans="1:57" x14ac:dyDescent="0.3">
      <c r="A337" s="7">
        <v>352</v>
      </c>
      <c r="B337" t="s">
        <v>2136</v>
      </c>
      <c r="C337">
        <v>9.1320700069534605E+17</v>
      </c>
      <c r="D337" t="s">
        <v>2178</v>
      </c>
      <c r="E337" t="s">
        <v>62</v>
      </c>
      <c r="F337" t="s">
        <v>922</v>
      </c>
      <c r="G337" t="s">
        <v>2179</v>
      </c>
      <c r="I337" t="s">
        <v>2165</v>
      </c>
      <c r="J337" t="s">
        <v>2141</v>
      </c>
      <c r="K337" t="s">
        <v>2166</v>
      </c>
      <c r="L337">
        <v>15189015203</v>
      </c>
      <c r="N337">
        <v>5</v>
      </c>
      <c r="O337" s="2">
        <v>45249</v>
      </c>
      <c r="P337" s="2">
        <v>45980</v>
      </c>
      <c r="Q337" t="s">
        <v>65</v>
      </c>
      <c r="R337" t="s">
        <v>86</v>
      </c>
      <c r="S337" t="s">
        <v>861</v>
      </c>
      <c r="T337" t="s">
        <v>2180</v>
      </c>
      <c r="U337" t="s">
        <v>930</v>
      </c>
      <c r="V337" t="s">
        <v>57</v>
      </c>
      <c r="X337" t="s">
        <v>2166</v>
      </c>
      <c r="Y337">
        <v>18260381825</v>
      </c>
      <c r="AA337" t="s">
        <v>159</v>
      </c>
      <c r="AB337" t="s">
        <v>65</v>
      </c>
      <c r="AC337">
        <v>950</v>
      </c>
      <c r="AD337" t="s">
        <v>69</v>
      </c>
      <c r="AE337">
        <v>40</v>
      </c>
      <c r="AF337">
        <v>1720</v>
      </c>
      <c r="AP337" t="s">
        <v>2145</v>
      </c>
      <c r="AS337" t="s">
        <v>323</v>
      </c>
      <c r="AT337" t="s">
        <v>1166</v>
      </c>
      <c r="AU337" t="s">
        <v>2168</v>
      </c>
      <c r="AV337">
        <v>40</v>
      </c>
      <c r="AW337">
        <v>40</v>
      </c>
      <c r="AZ337">
        <v>222000</v>
      </c>
    </row>
    <row r="338" spans="1:57" x14ac:dyDescent="0.3">
      <c r="A338" s="7">
        <v>353</v>
      </c>
      <c r="B338" t="s">
        <v>2136</v>
      </c>
      <c r="C338">
        <v>9.1320700069534605E+17</v>
      </c>
      <c r="D338" t="s">
        <v>2181</v>
      </c>
      <c r="E338" t="s">
        <v>62</v>
      </c>
      <c r="F338" t="s">
        <v>922</v>
      </c>
      <c r="G338" t="s">
        <v>2182</v>
      </c>
      <c r="I338" t="s">
        <v>2165</v>
      </c>
      <c r="J338" t="s">
        <v>2141</v>
      </c>
      <c r="K338" t="s">
        <v>2166</v>
      </c>
      <c r="L338">
        <v>15240337632</v>
      </c>
      <c r="N338">
        <v>9</v>
      </c>
      <c r="O338" s="2">
        <v>45249</v>
      </c>
      <c r="P338" s="2">
        <v>45980</v>
      </c>
      <c r="Q338" t="s">
        <v>65</v>
      </c>
      <c r="R338" t="s">
        <v>86</v>
      </c>
      <c r="S338" t="s">
        <v>861</v>
      </c>
      <c r="T338" t="s">
        <v>2183</v>
      </c>
      <c r="U338" t="s">
        <v>930</v>
      </c>
      <c r="V338" t="s">
        <v>57</v>
      </c>
      <c r="X338" t="s">
        <v>2166</v>
      </c>
      <c r="Y338">
        <v>18260381825</v>
      </c>
      <c r="AA338" t="s">
        <v>159</v>
      </c>
      <c r="AB338" t="s">
        <v>65</v>
      </c>
      <c r="AC338">
        <v>950</v>
      </c>
      <c r="AD338" t="s">
        <v>69</v>
      </c>
      <c r="AE338">
        <v>40</v>
      </c>
      <c r="AF338">
        <v>1720</v>
      </c>
      <c r="AP338" t="s">
        <v>2145</v>
      </c>
      <c r="AS338" t="s">
        <v>323</v>
      </c>
      <c r="AT338" t="s">
        <v>1166</v>
      </c>
      <c r="AU338" t="s">
        <v>2168</v>
      </c>
      <c r="AV338">
        <v>40</v>
      </c>
      <c r="AW338">
        <v>40</v>
      </c>
      <c r="AZ338">
        <v>222000</v>
      </c>
    </row>
    <row r="339" spans="1:57" x14ac:dyDescent="0.3">
      <c r="A339" s="7">
        <v>354</v>
      </c>
      <c r="B339" t="s">
        <v>2136</v>
      </c>
      <c r="C339">
        <v>9.1320700069534605E+17</v>
      </c>
      <c r="D339" t="s">
        <v>2184</v>
      </c>
      <c r="E339" t="s">
        <v>62</v>
      </c>
      <c r="F339" t="s">
        <v>2185</v>
      </c>
      <c r="G339" t="s">
        <v>2186</v>
      </c>
      <c r="H339" s="3">
        <v>41944</v>
      </c>
      <c r="I339" t="s">
        <v>2187</v>
      </c>
      <c r="J339" t="s">
        <v>2141</v>
      </c>
      <c r="K339" t="s">
        <v>2188</v>
      </c>
      <c r="L339">
        <v>15705155793</v>
      </c>
      <c r="N339">
        <v>10</v>
      </c>
      <c r="O339" s="2">
        <v>45618</v>
      </c>
      <c r="P339" s="2">
        <v>46354</v>
      </c>
      <c r="Q339" t="s">
        <v>65</v>
      </c>
      <c r="R339" t="s">
        <v>86</v>
      </c>
      <c r="S339" t="s">
        <v>280</v>
      </c>
      <c r="T339" t="s">
        <v>2189</v>
      </c>
      <c r="U339" t="s">
        <v>62</v>
      </c>
      <c r="V339" t="s">
        <v>57</v>
      </c>
      <c r="W339" t="s">
        <v>2190</v>
      </c>
      <c r="X339" t="s">
        <v>2191</v>
      </c>
      <c r="Y339">
        <v>15205130419</v>
      </c>
      <c r="AA339" t="s">
        <v>159</v>
      </c>
      <c r="AB339" t="s">
        <v>65</v>
      </c>
      <c r="AC339">
        <v>1190</v>
      </c>
      <c r="AD339" t="s">
        <v>69</v>
      </c>
      <c r="AE339">
        <v>40</v>
      </c>
      <c r="AF339">
        <v>172</v>
      </c>
      <c r="AK339" t="s">
        <v>1139</v>
      </c>
      <c r="AN339">
        <v>40</v>
      </c>
      <c r="AP339" t="s">
        <v>163</v>
      </c>
      <c r="AS339" t="s">
        <v>70</v>
      </c>
      <c r="AT339" t="s">
        <v>1139</v>
      </c>
      <c r="AU339">
        <f>-19-30</f>
        <v>-49</v>
      </c>
      <c r="AV339">
        <v>40</v>
      </c>
      <c r="AW339">
        <v>40</v>
      </c>
      <c r="AZ339">
        <v>222000</v>
      </c>
    </row>
    <row r="340" spans="1:57" x14ac:dyDescent="0.3">
      <c r="A340" s="7">
        <v>355</v>
      </c>
      <c r="B340" t="s">
        <v>2136</v>
      </c>
      <c r="C340">
        <v>9.1320700069534605E+17</v>
      </c>
      <c r="D340" t="s">
        <v>2192</v>
      </c>
      <c r="E340" t="s">
        <v>62</v>
      </c>
      <c r="F340" t="s">
        <v>1161</v>
      </c>
      <c r="G340" t="s">
        <v>2193</v>
      </c>
      <c r="H340" s="2">
        <v>41974</v>
      </c>
      <c r="I340" t="s">
        <v>2194</v>
      </c>
      <c r="J340" t="s">
        <v>2141</v>
      </c>
      <c r="K340" t="s">
        <v>2195</v>
      </c>
      <c r="L340">
        <v>18961383680</v>
      </c>
      <c r="N340" t="s">
        <v>2196</v>
      </c>
      <c r="O340" s="2">
        <v>45473</v>
      </c>
      <c r="P340" s="2">
        <v>46200</v>
      </c>
      <c r="Q340" t="s">
        <v>65</v>
      </c>
      <c r="R340" t="s">
        <v>86</v>
      </c>
      <c r="S340" t="s">
        <v>280</v>
      </c>
      <c r="T340" t="s">
        <v>2197</v>
      </c>
      <c r="U340" t="s">
        <v>62</v>
      </c>
      <c r="V340" t="s">
        <v>57</v>
      </c>
      <c r="X340" t="s">
        <v>2195</v>
      </c>
      <c r="AA340" t="s">
        <v>159</v>
      </c>
      <c r="AB340" t="s">
        <v>65</v>
      </c>
      <c r="AC340">
        <v>1190</v>
      </c>
      <c r="AD340" t="s">
        <v>69</v>
      </c>
      <c r="AE340">
        <v>40</v>
      </c>
      <c r="AF340">
        <v>172</v>
      </c>
      <c r="AK340" t="s">
        <v>1166</v>
      </c>
      <c r="AN340">
        <v>40</v>
      </c>
      <c r="AP340" t="s">
        <v>163</v>
      </c>
      <c r="AS340" t="s">
        <v>323</v>
      </c>
      <c r="AT340" t="s">
        <v>1166</v>
      </c>
      <c r="AU340" t="s">
        <v>2198</v>
      </c>
      <c r="AV340">
        <v>40</v>
      </c>
      <c r="AW340">
        <v>40</v>
      </c>
      <c r="AZ340">
        <v>222000</v>
      </c>
    </row>
    <row r="341" spans="1:57" x14ac:dyDescent="0.3">
      <c r="A341" s="7">
        <v>356</v>
      </c>
      <c r="B341" t="s">
        <v>2136</v>
      </c>
      <c r="C341">
        <v>9.1320700069534605E+17</v>
      </c>
      <c r="D341" t="s">
        <v>2199</v>
      </c>
      <c r="E341" t="s">
        <v>62</v>
      </c>
      <c r="F341" t="s">
        <v>2185</v>
      </c>
      <c r="G341" t="s">
        <v>2200</v>
      </c>
      <c r="H341" s="3">
        <v>41944</v>
      </c>
      <c r="I341" t="s">
        <v>2187</v>
      </c>
      <c r="J341" t="s">
        <v>2141</v>
      </c>
      <c r="K341" t="s">
        <v>2188</v>
      </c>
      <c r="L341">
        <v>15705155793</v>
      </c>
      <c r="N341">
        <v>9</v>
      </c>
      <c r="O341" s="2">
        <v>45618</v>
      </c>
      <c r="P341" s="2">
        <v>46354</v>
      </c>
      <c r="Q341" t="s">
        <v>65</v>
      </c>
      <c r="R341" t="s">
        <v>86</v>
      </c>
      <c r="S341" t="s">
        <v>280</v>
      </c>
      <c r="T341" t="s">
        <v>2201</v>
      </c>
      <c r="U341" t="s">
        <v>62</v>
      </c>
      <c r="V341" t="s">
        <v>57</v>
      </c>
      <c r="W341" t="s">
        <v>723</v>
      </c>
      <c r="X341" t="s">
        <v>2191</v>
      </c>
      <c r="Y341">
        <v>15205130419</v>
      </c>
      <c r="AA341" t="s">
        <v>159</v>
      </c>
      <c r="AB341" t="s">
        <v>65</v>
      </c>
      <c r="AC341">
        <v>1190</v>
      </c>
      <c r="AD341" t="s">
        <v>69</v>
      </c>
      <c r="AE341">
        <v>40</v>
      </c>
      <c r="AF341">
        <v>172</v>
      </c>
      <c r="AK341" t="s">
        <v>1139</v>
      </c>
      <c r="AN341">
        <v>40</v>
      </c>
      <c r="AP341" t="s">
        <v>163</v>
      </c>
      <c r="AS341" t="s">
        <v>70</v>
      </c>
      <c r="AT341" t="s">
        <v>1139</v>
      </c>
      <c r="AU341">
        <f>-19-30</f>
        <v>-49</v>
      </c>
      <c r="AV341">
        <v>40</v>
      </c>
      <c r="AW341">
        <v>40</v>
      </c>
      <c r="AZ341">
        <v>222000</v>
      </c>
    </row>
    <row r="342" spans="1:57" x14ac:dyDescent="0.3">
      <c r="A342" s="7">
        <v>357</v>
      </c>
      <c r="B342" t="s">
        <v>2136</v>
      </c>
      <c r="C342">
        <v>9.1320700069534605E+17</v>
      </c>
      <c r="D342" t="s">
        <v>2202</v>
      </c>
      <c r="E342" t="s">
        <v>62</v>
      </c>
      <c r="F342" t="s">
        <v>2185</v>
      </c>
      <c r="G342" t="s">
        <v>2203</v>
      </c>
      <c r="H342" s="3">
        <v>41944</v>
      </c>
      <c r="I342" t="s">
        <v>2187</v>
      </c>
      <c r="J342" t="s">
        <v>2141</v>
      </c>
      <c r="K342" t="s">
        <v>2188</v>
      </c>
      <c r="L342">
        <v>15705155793</v>
      </c>
      <c r="N342">
        <v>8</v>
      </c>
      <c r="O342" s="2">
        <v>45618</v>
      </c>
      <c r="P342" s="2">
        <v>46354</v>
      </c>
      <c r="Q342" t="s">
        <v>65</v>
      </c>
      <c r="R342" t="s">
        <v>86</v>
      </c>
      <c r="S342" t="s">
        <v>280</v>
      </c>
      <c r="T342" t="s">
        <v>2204</v>
      </c>
      <c r="U342" t="s">
        <v>62</v>
      </c>
      <c r="V342" t="s">
        <v>57</v>
      </c>
      <c r="W342" t="s">
        <v>723</v>
      </c>
      <c r="X342" t="s">
        <v>2191</v>
      </c>
      <c r="Y342">
        <v>15205130419</v>
      </c>
      <c r="AA342" t="s">
        <v>159</v>
      </c>
      <c r="AB342" t="s">
        <v>65</v>
      </c>
      <c r="AC342">
        <v>1190</v>
      </c>
      <c r="AD342" t="s">
        <v>69</v>
      </c>
      <c r="AE342">
        <v>40</v>
      </c>
      <c r="AF342">
        <v>172</v>
      </c>
      <c r="AK342" t="s">
        <v>1139</v>
      </c>
      <c r="AN342">
        <v>40</v>
      </c>
      <c r="AP342" t="s">
        <v>163</v>
      </c>
      <c r="AS342" t="s">
        <v>70</v>
      </c>
      <c r="AT342" t="s">
        <v>1139</v>
      </c>
      <c r="AU342">
        <v>30</v>
      </c>
      <c r="AV342">
        <v>40</v>
      </c>
      <c r="AW342">
        <v>40</v>
      </c>
      <c r="AZ342">
        <v>222000</v>
      </c>
    </row>
    <row r="343" spans="1:57" x14ac:dyDescent="0.3">
      <c r="A343" s="7">
        <v>358</v>
      </c>
      <c r="B343" t="s">
        <v>2136</v>
      </c>
      <c r="C343">
        <v>9.1320700069534605E+17</v>
      </c>
      <c r="D343" t="s">
        <v>2205</v>
      </c>
      <c r="E343" t="s">
        <v>62</v>
      </c>
      <c r="F343" t="s">
        <v>2185</v>
      </c>
      <c r="G343" t="s">
        <v>2206</v>
      </c>
      <c r="H343" s="3">
        <v>41944</v>
      </c>
      <c r="I343" t="s">
        <v>2187</v>
      </c>
      <c r="J343" t="s">
        <v>2141</v>
      </c>
      <c r="K343" t="s">
        <v>2188</v>
      </c>
      <c r="L343">
        <v>15705155793</v>
      </c>
      <c r="N343">
        <v>7</v>
      </c>
      <c r="O343" s="2">
        <v>45653</v>
      </c>
      <c r="P343" s="2">
        <v>46386</v>
      </c>
      <c r="Q343" t="s">
        <v>65</v>
      </c>
      <c r="R343" t="s">
        <v>86</v>
      </c>
      <c r="S343" t="s">
        <v>280</v>
      </c>
      <c r="T343" t="s">
        <v>2207</v>
      </c>
      <c r="U343" t="s">
        <v>62</v>
      </c>
      <c r="V343" t="s">
        <v>57</v>
      </c>
      <c r="W343" t="s">
        <v>723</v>
      </c>
      <c r="X343" t="s">
        <v>2191</v>
      </c>
      <c r="Y343">
        <v>15205130419</v>
      </c>
      <c r="AA343" t="s">
        <v>159</v>
      </c>
      <c r="AB343" t="s">
        <v>65</v>
      </c>
      <c r="AC343">
        <v>1190</v>
      </c>
      <c r="AD343" t="s">
        <v>69</v>
      </c>
      <c r="AE343">
        <v>40</v>
      </c>
      <c r="AF343">
        <v>172</v>
      </c>
      <c r="AK343" t="s">
        <v>1139</v>
      </c>
      <c r="AN343">
        <v>40</v>
      </c>
      <c r="AP343" t="s">
        <v>163</v>
      </c>
      <c r="AS343" t="s">
        <v>70</v>
      </c>
      <c r="AT343" t="s">
        <v>1139</v>
      </c>
      <c r="AU343">
        <f>-19-30</f>
        <v>-49</v>
      </c>
      <c r="AV343">
        <v>40</v>
      </c>
      <c r="AW343">
        <v>40</v>
      </c>
      <c r="AZ343">
        <v>222000</v>
      </c>
    </row>
    <row r="344" spans="1:57" x14ac:dyDescent="0.3">
      <c r="A344" s="7">
        <v>359</v>
      </c>
      <c r="B344" t="s">
        <v>2136</v>
      </c>
      <c r="C344">
        <v>9.1320700069534605E+17</v>
      </c>
      <c r="D344" t="s">
        <v>2208</v>
      </c>
      <c r="E344" t="s">
        <v>62</v>
      </c>
      <c r="F344" t="s">
        <v>1161</v>
      </c>
      <c r="G344" t="s">
        <v>2209</v>
      </c>
      <c r="H344" s="3">
        <v>41548</v>
      </c>
      <c r="I344" t="s">
        <v>2210</v>
      </c>
      <c r="J344" t="s">
        <v>497</v>
      </c>
      <c r="K344" t="s">
        <v>2191</v>
      </c>
      <c r="L344">
        <v>15189015203</v>
      </c>
      <c r="N344" t="s">
        <v>109</v>
      </c>
      <c r="O344" s="2">
        <v>45249</v>
      </c>
      <c r="P344" s="2">
        <v>45980</v>
      </c>
      <c r="Q344" t="s">
        <v>65</v>
      </c>
      <c r="R344" t="s">
        <v>86</v>
      </c>
      <c r="S344" t="s">
        <v>861</v>
      </c>
      <c r="T344" t="s">
        <v>2211</v>
      </c>
      <c r="U344" t="s">
        <v>67</v>
      </c>
      <c r="V344" t="s">
        <v>57</v>
      </c>
      <c r="W344" t="s">
        <v>184</v>
      </c>
      <c r="X344" t="s">
        <v>2212</v>
      </c>
      <c r="Y344">
        <v>15205130419</v>
      </c>
      <c r="Z344" t="s">
        <v>89</v>
      </c>
      <c r="AA344" t="s">
        <v>159</v>
      </c>
      <c r="AB344" t="s">
        <v>65</v>
      </c>
      <c r="AC344">
        <v>1190</v>
      </c>
      <c r="AD344" t="s">
        <v>69</v>
      </c>
      <c r="AE344">
        <v>40</v>
      </c>
      <c r="AF344">
        <v>1720</v>
      </c>
      <c r="AP344" t="s">
        <v>93</v>
      </c>
      <c r="AS344" t="s">
        <v>323</v>
      </c>
      <c r="AT344" t="s">
        <v>1190</v>
      </c>
      <c r="AU344" t="s">
        <v>2213</v>
      </c>
      <c r="AV344">
        <v>48</v>
      </c>
      <c r="AW344">
        <v>40</v>
      </c>
      <c r="AZ344">
        <v>222000</v>
      </c>
    </row>
    <row r="345" spans="1:57" x14ac:dyDescent="0.3">
      <c r="A345" s="7">
        <v>360</v>
      </c>
      <c r="B345" t="s">
        <v>2136</v>
      </c>
      <c r="C345">
        <v>9.1320700069534605E+17</v>
      </c>
      <c r="D345" t="s">
        <v>2214</v>
      </c>
      <c r="E345" t="s">
        <v>62</v>
      </c>
      <c r="F345" t="s">
        <v>1161</v>
      </c>
      <c r="G345" t="s">
        <v>2215</v>
      </c>
      <c r="H345" s="2">
        <v>41974</v>
      </c>
      <c r="I345" t="s">
        <v>2194</v>
      </c>
      <c r="J345" t="s">
        <v>2141</v>
      </c>
      <c r="K345" t="s">
        <v>2195</v>
      </c>
      <c r="L345">
        <v>18961383680</v>
      </c>
      <c r="N345" t="s">
        <v>2216</v>
      </c>
      <c r="O345" s="2">
        <v>45473</v>
      </c>
      <c r="P345" s="2">
        <v>46200</v>
      </c>
      <c r="Q345" t="s">
        <v>65</v>
      </c>
      <c r="R345" t="s">
        <v>86</v>
      </c>
      <c r="S345" t="s">
        <v>280</v>
      </c>
      <c r="T345" t="s">
        <v>2217</v>
      </c>
      <c r="U345" t="s">
        <v>62</v>
      </c>
      <c r="V345" t="s">
        <v>57</v>
      </c>
      <c r="X345" t="s">
        <v>2195</v>
      </c>
      <c r="AA345" t="s">
        <v>159</v>
      </c>
      <c r="AB345" t="s">
        <v>65</v>
      </c>
      <c r="AC345">
        <v>1190</v>
      </c>
      <c r="AD345" t="s">
        <v>69</v>
      </c>
      <c r="AE345">
        <v>40</v>
      </c>
      <c r="AF345">
        <v>172</v>
      </c>
      <c r="AK345" t="s">
        <v>1166</v>
      </c>
      <c r="AN345">
        <v>40</v>
      </c>
      <c r="AP345" t="s">
        <v>163</v>
      </c>
      <c r="AS345" t="s">
        <v>323</v>
      </c>
      <c r="AT345" t="s">
        <v>1166</v>
      </c>
      <c r="AU345" t="s">
        <v>2198</v>
      </c>
      <c r="AV345">
        <v>40</v>
      </c>
      <c r="AW345">
        <v>40</v>
      </c>
      <c r="AZ345">
        <v>222000</v>
      </c>
    </row>
    <row r="346" spans="1:57" x14ac:dyDescent="0.3">
      <c r="A346" s="7">
        <v>361</v>
      </c>
      <c r="B346" t="s">
        <v>2136</v>
      </c>
      <c r="C346">
        <v>9.1320700069534605E+17</v>
      </c>
      <c r="D346" t="s">
        <v>2218</v>
      </c>
      <c r="E346" t="s">
        <v>62</v>
      </c>
      <c r="F346" t="s">
        <v>1161</v>
      </c>
      <c r="G346" t="s">
        <v>2219</v>
      </c>
      <c r="H346" s="3">
        <v>41548</v>
      </c>
      <c r="I346" t="s">
        <v>2210</v>
      </c>
      <c r="J346" t="s">
        <v>497</v>
      </c>
      <c r="K346" t="s">
        <v>2191</v>
      </c>
      <c r="L346">
        <v>15189015203</v>
      </c>
      <c r="N346" t="s">
        <v>129</v>
      </c>
      <c r="O346" s="2">
        <v>45249</v>
      </c>
      <c r="P346" s="2">
        <v>45980</v>
      </c>
      <c r="Q346" t="s">
        <v>65</v>
      </c>
      <c r="R346" t="s">
        <v>86</v>
      </c>
      <c r="S346" t="s">
        <v>861</v>
      </c>
      <c r="T346" t="s">
        <v>2220</v>
      </c>
      <c r="U346" t="s">
        <v>67</v>
      </c>
      <c r="V346" t="s">
        <v>57</v>
      </c>
      <c r="W346" t="s">
        <v>184</v>
      </c>
      <c r="X346" t="s">
        <v>2212</v>
      </c>
      <c r="Y346">
        <v>15205130419</v>
      </c>
      <c r="Z346" t="s">
        <v>89</v>
      </c>
      <c r="AA346" t="s">
        <v>159</v>
      </c>
      <c r="AB346" t="s">
        <v>65</v>
      </c>
      <c r="AC346">
        <v>950</v>
      </c>
      <c r="AD346" t="s">
        <v>69</v>
      </c>
      <c r="AE346">
        <v>40</v>
      </c>
      <c r="AF346">
        <v>1720</v>
      </c>
      <c r="AP346" t="s">
        <v>93</v>
      </c>
      <c r="AS346" t="s">
        <v>323</v>
      </c>
      <c r="AT346" t="s">
        <v>1190</v>
      </c>
      <c r="AU346" t="s">
        <v>2213</v>
      </c>
      <c r="AV346">
        <v>48</v>
      </c>
      <c r="AW346">
        <v>40</v>
      </c>
      <c r="AZ346">
        <v>222000</v>
      </c>
    </row>
    <row r="347" spans="1:57" x14ac:dyDescent="0.3">
      <c r="A347" s="7">
        <v>362</v>
      </c>
      <c r="B347" t="s">
        <v>2136</v>
      </c>
      <c r="C347">
        <v>9.1320700069534605E+17</v>
      </c>
      <c r="D347" t="s">
        <v>2221</v>
      </c>
      <c r="E347" t="s">
        <v>62</v>
      </c>
      <c r="F347" t="s">
        <v>1161</v>
      </c>
      <c r="G347" t="s">
        <v>2222</v>
      </c>
      <c r="H347" s="3">
        <v>41548</v>
      </c>
      <c r="I347" t="s">
        <v>2210</v>
      </c>
      <c r="J347" t="s">
        <v>497</v>
      </c>
      <c r="K347" t="s">
        <v>2191</v>
      </c>
      <c r="L347">
        <v>15189015203</v>
      </c>
      <c r="N347" t="s">
        <v>2223</v>
      </c>
      <c r="O347" s="2">
        <v>45249</v>
      </c>
      <c r="P347" s="2">
        <v>45980</v>
      </c>
      <c r="Q347" t="s">
        <v>65</v>
      </c>
      <c r="R347" t="s">
        <v>86</v>
      </c>
      <c r="S347" t="s">
        <v>861</v>
      </c>
      <c r="T347" t="s">
        <v>2224</v>
      </c>
      <c r="U347" t="s">
        <v>67</v>
      </c>
      <c r="V347" t="s">
        <v>57</v>
      </c>
      <c r="W347" t="s">
        <v>184</v>
      </c>
      <c r="X347" t="s">
        <v>2212</v>
      </c>
      <c r="Y347">
        <v>15205130419</v>
      </c>
      <c r="Z347" t="s">
        <v>89</v>
      </c>
      <c r="AA347" t="s">
        <v>159</v>
      </c>
      <c r="AB347" t="s">
        <v>65</v>
      </c>
      <c r="AC347">
        <v>1190</v>
      </c>
      <c r="AD347" t="s">
        <v>69</v>
      </c>
      <c r="AE347">
        <v>40</v>
      </c>
      <c r="AF347">
        <v>1720</v>
      </c>
      <c r="AP347" t="s">
        <v>93</v>
      </c>
      <c r="AS347" t="s">
        <v>323</v>
      </c>
      <c r="AT347" t="s">
        <v>1190</v>
      </c>
      <c r="AU347" t="s">
        <v>2213</v>
      </c>
      <c r="AV347">
        <v>48</v>
      </c>
      <c r="AW347">
        <v>40</v>
      </c>
      <c r="AZ347">
        <v>222000</v>
      </c>
    </row>
    <row r="348" spans="1:57" x14ac:dyDescent="0.3">
      <c r="A348" s="7">
        <v>363</v>
      </c>
      <c r="B348" t="s">
        <v>2136</v>
      </c>
      <c r="C348">
        <v>9.1320700069534605E+17</v>
      </c>
      <c r="D348" t="s">
        <v>2225</v>
      </c>
      <c r="E348" t="s">
        <v>62</v>
      </c>
      <c r="F348" t="s">
        <v>2185</v>
      </c>
      <c r="G348" t="s">
        <v>2226</v>
      </c>
      <c r="H348" s="3">
        <v>41944</v>
      </c>
      <c r="I348" t="s">
        <v>2187</v>
      </c>
      <c r="J348" t="s">
        <v>2141</v>
      </c>
      <c r="K348" t="s">
        <v>2188</v>
      </c>
      <c r="L348">
        <v>15705155793</v>
      </c>
      <c r="N348">
        <v>5</v>
      </c>
      <c r="O348" s="2">
        <v>45653</v>
      </c>
      <c r="P348" s="2">
        <v>46386</v>
      </c>
      <c r="Q348" t="s">
        <v>65</v>
      </c>
      <c r="R348" t="s">
        <v>86</v>
      </c>
      <c r="S348" t="s">
        <v>280</v>
      </c>
      <c r="T348" t="s">
        <v>2227</v>
      </c>
      <c r="U348" t="s">
        <v>62</v>
      </c>
      <c r="V348" t="s">
        <v>57</v>
      </c>
      <c r="W348" t="s">
        <v>723</v>
      </c>
      <c r="X348" t="s">
        <v>2191</v>
      </c>
      <c r="Y348">
        <v>15205130419</v>
      </c>
      <c r="AA348" t="s">
        <v>159</v>
      </c>
      <c r="AB348" t="s">
        <v>65</v>
      </c>
      <c r="AC348">
        <v>1190</v>
      </c>
      <c r="AD348" t="s">
        <v>69</v>
      </c>
      <c r="AE348">
        <v>40</v>
      </c>
      <c r="AF348">
        <v>172</v>
      </c>
      <c r="AK348" t="s">
        <v>1139</v>
      </c>
      <c r="AN348">
        <v>40</v>
      </c>
      <c r="AP348" t="s">
        <v>163</v>
      </c>
      <c r="AS348" t="s">
        <v>70</v>
      </c>
      <c r="AT348" t="s">
        <v>1139</v>
      </c>
      <c r="AU348">
        <f>-19-30</f>
        <v>-49</v>
      </c>
      <c r="AV348">
        <v>40</v>
      </c>
      <c r="AW348">
        <v>40</v>
      </c>
      <c r="AZ348">
        <v>222000</v>
      </c>
    </row>
    <row r="349" spans="1:57" x14ac:dyDescent="0.3">
      <c r="A349" s="7">
        <v>364</v>
      </c>
      <c r="B349" t="s">
        <v>2136</v>
      </c>
      <c r="C349">
        <v>9.1320700069534605E+17</v>
      </c>
      <c r="D349" t="s">
        <v>2228</v>
      </c>
      <c r="E349" t="s">
        <v>62</v>
      </c>
      <c r="F349" t="s">
        <v>2185</v>
      </c>
      <c r="G349" t="s">
        <v>2229</v>
      </c>
      <c r="H349" s="3">
        <v>41944</v>
      </c>
      <c r="I349" t="s">
        <v>2187</v>
      </c>
      <c r="J349" t="s">
        <v>2141</v>
      </c>
      <c r="K349" t="s">
        <v>2188</v>
      </c>
      <c r="L349">
        <v>15705155793</v>
      </c>
      <c r="N349">
        <v>6</v>
      </c>
      <c r="O349" s="2">
        <v>45653</v>
      </c>
      <c r="P349" s="2">
        <v>46386</v>
      </c>
      <c r="Q349" t="s">
        <v>65</v>
      </c>
      <c r="R349" t="s">
        <v>86</v>
      </c>
      <c r="S349" t="s">
        <v>280</v>
      </c>
      <c r="T349" t="s">
        <v>2230</v>
      </c>
      <c r="U349" t="s">
        <v>62</v>
      </c>
      <c r="V349" t="s">
        <v>57</v>
      </c>
      <c r="W349" t="s">
        <v>723</v>
      </c>
      <c r="X349" t="s">
        <v>2191</v>
      </c>
      <c r="Y349">
        <v>15205130419</v>
      </c>
      <c r="AA349" t="s">
        <v>159</v>
      </c>
      <c r="AB349" t="s">
        <v>65</v>
      </c>
      <c r="AC349">
        <v>1190</v>
      </c>
      <c r="AD349" t="s">
        <v>69</v>
      </c>
      <c r="AE349">
        <v>40</v>
      </c>
      <c r="AF349">
        <v>172</v>
      </c>
      <c r="AK349" t="s">
        <v>1139</v>
      </c>
      <c r="AN349">
        <v>40</v>
      </c>
      <c r="AP349" t="s">
        <v>163</v>
      </c>
      <c r="AS349" t="s">
        <v>70</v>
      </c>
      <c r="AT349" t="s">
        <v>1139</v>
      </c>
      <c r="AU349">
        <f>-19-30</f>
        <v>-49</v>
      </c>
      <c r="AV349">
        <v>40</v>
      </c>
      <c r="AW349">
        <v>40</v>
      </c>
      <c r="AZ349">
        <v>222000</v>
      </c>
    </row>
    <row r="350" spans="1:57" x14ac:dyDescent="0.3">
      <c r="A350" s="7">
        <v>365</v>
      </c>
      <c r="B350" t="s">
        <v>2136</v>
      </c>
      <c r="C350">
        <v>9.1320700069534605E+17</v>
      </c>
      <c r="D350" t="s">
        <v>2231</v>
      </c>
      <c r="E350" t="s">
        <v>62</v>
      </c>
      <c r="F350" t="s">
        <v>1161</v>
      </c>
      <c r="G350" t="s">
        <v>2232</v>
      </c>
      <c r="H350" s="3">
        <v>41974</v>
      </c>
      <c r="I350" t="s">
        <v>2233</v>
      </c>
      <c r="J350" t="s">
        <v>2141</v>
      </c>
      <c r="K350" t="s">
        <v>2195</v>
      </c>
      <c r="L350">
        <v>15240337632</v>
      </c>
      <c r="N350" t="s">
        <v>2234</v>
      </c>
      <c r="O350" s="2">
        <v>45818</v>
      </c>
      <c r="P350" s="2">
        <v>46568</v>
      </c>
      <c r="Q350" t="s">
        <v>65</v>
      </c>
      <c r="R350" t="s">
        <v>86</v>
      </c>
      <c r="S350" t="s">
        <v>280</v>
      </c>
      <c r="T350" t="s">
        <v>2235</v>
      </c>
      <c r="U350" t="s">
        <v>2236</v>
      </c>
      <c r="V350" t="s">
        <v>57</v>
      </c>
      <c r="W350" t="s">
        <v>322</v>
      </c>
      <c r="X350" t="s">
        <v>2195</v>
      </c>
      <c r="Y350">
        <v>18961380680</v>
      </c>
      <c r="Z350" t="s">
        <v>1319</v>
      </c>
      <c r="AA350" t="s">
        <v>159</v>
      </c>
      <c r="AB350" t="s">
        <v>65</v>
      </c>
      <c r="AC350">
        <v>1190</v>
      </c>
      <c r="AD350" t="s">
        <v>69</v>
      </c>
      <c r="AE350">
        <v>40</v>
      </c>
      <c r="AF350">
        <v>1720</v>
      </c>
      <c r="AK350">
        <v>55</v>
      </c>
      <c r="AP350" t="s">
        <v>163</v>
      </c>
      <c r="AS350" t="s">
        <v>323</v>
      </c>
      <c r="AT350" t="s">
        <v>1166</v>
      </c>
      <c r="AU350" t="s">
        <v>2237</v>
      </c>
      <c r="AV350">
        <v>32</v>
      </c>
      <c r="AW350">
        <v>40</v>
      </c>
      <c r="AZ350">
        <v>222000</v>
      </c>
    </row>
    <row r="351" spans="1:57" x14ac:dyDescent="0.3">
      <c r="A351" s="7">
        <v>366</v>
      </c>
      <c r="B351" t="s">
        <v>2136</v>
      </c>
      <c r="C351">
        <v>9.1320700069534605E+17</v>
      </c>
      <c r="D351" t="s">
        <v>2238</v>
      </c>
      <c r="E351" t="s">
        <v>124</v>
      </c>
      <c r="F351" t="s">
        <v>2239</v>
      </c>
      <c r="G351">
        <v>160902</v>
      </c>
      <c r="H351" s="3">
        <v>42705</v>
      </c>
      <c r="I351" t="s">
        <v>175</v>
      </c>
      <c r="J351" t="s">
        <v>2141</v>
      </c>
      <c r="K351" t="s">
        <v>2188</v>
      </c>
      <c r="L351">
        <v>15705155793</v>
      </c>
      <c r="N351" t="s">
        <v>83</v>
      </c>
      <c r="O351" s="2">
        <v>45653</v>
      </c>
      <c r="P351" s="2">
        <v>46383</v>
      </c>
      <c r="Q351" t="s">
        <v>65</v>
      </c>
      <c r="R351" t="s">
        <v>86</v>
      </c>
      <c r="S351" t="s">
        <v>1124</v>
      </c>
      <c r="T351" t="s">
        <v>2240</v>
      </c>
      <c r="U351" t="s">
        <v>124</v>
      </c>
      <c r="V351" t="s">
        <v>57</v>
      </c>
      <c r="W351" t="s">
        <v>322</v>
      </c>
      <c r="X351" t="s">
        <v>2241</v>
      </c>
      <c r="Y351">
        <v>15205130419</v>
      </c>
      <c r="AA351" t="s">
        <v>159</v>
      </c>
      <c r="AB351" t="s">
        <v>65</v>
      </c>
      <c r="AC351">
        <v>600</v>
      </c>
      <c r="AD351" t="s">
        <v>69</v>
      </c>
      <c r="AE351">
        <v>10</v>
      </c>
      <c r="AF351">
        <v>15.4</v>
      </c>
      <c r="AH351">
        <v>11</v>
      </c>
      <c r="AK351">
        <v>7</v>
      </c>
      <c r="AN351">
        <v>15</v>
      </c>
      <c r="AP351" t="s">
        <v>163</v>
      </c>
      <c r="AQ351" t="s">
        <v>94</v>
      </c>
      <c r="AS351" t="s">
        <v>2242</v>
      </c>
      <c r="AT351">
        <v>7</v>
      </c>
      <c r="AU351">
        <v>9</v>
      </c>
      <c r="AV351">
        <v>15</v>
      </c>
      <c r="AW351">
        <v>10</v>
      </c>
      <c r="AZ351">
        <v>222000</v>
      </c>
      <c r="BB351" t="s">
        <v>248</v>
      </c>
      <c r="BD351" t="s">
        <v>385</v>
      </c>
      <c r="BE351" t="s">
        <v>250</v>
      </c>
    </row>
    <row r="352" spans="1:57" x14ac:dyDescent="0.3">
      <c r="A352" s="7">
        <v>367</v>
      </c>
      <c r="B352" t="s">
        <v>2136</v>
      </c>
      <c r="C352">
        <v>9.1320700069534605E+17</v>
      </c>
      <c r="D352" t="s">
        <v>2243</v>
      </c>
      <c r="E352" t="s">
        <v>62</v>
      </c>
      <c r="F352" t="s">
        <v>1161</v>
      </c>
      <c r="G352" t="s">
        <v>2244</v>
      </c>
      <c r="H352" s="3">
        <v>41974</v>
      </c>
      <c r="I352" t="s">
        <v>2233</v>
      </c>
      <c r="J352" t="s">
        <v>2141</v>
      </c>
      <c r="K352" t="s">
        <v>2195</v>
      </c>
      <c r="L352">
        <v>15240337632</v>
      </c>
      <c r="N352" t="s">
        <v>885</v>
      </c>
      <c r="O352" s="2">
        <v>45818</v>
      </c>
      <c r="P352" s="2">
        <v>46568</v>
      </c>
      <c r="Q352" t="s">
        <v>65</v>
      </c>
      <c r="R352" t="s">
        <v>86</v>
      </c>
      <c r="S352" t="s">
        <v>280</v>
      </c>
      <c r="T352" t="s">
        <v>2245</v>
      </c>
      <c r="U352" t="s">
        <v>2236</v>
      </c>
      <c r="V352" t="s">
        <v>57</v>
      </c>
      <c r="W352" t="s">
        <v>322</v>
      </c>
      <c r="X352" t="s">
        <v>2195</v>
      </c>
      <c r="Y352">
        <v>18961380680</v>
      </c>
      <c r="Z352" t="s">
        <v>1319</v>
      </c>
      <c r="AA352" t="s">
        <v>159</v>
      </c>
      <c r="AB352" t="s">
        <v>65</v>
      </c>
      <c r="AC352">
        <v>1190</v>
      </c>
      <c r="AD352" t="s">
        <v>69</v>
      </c>
      <c r="AE352">
        <v>40</v>
      </c>
      <c r="AF352">
        <v>1720</v>
      </c>
      <c r="AK352">
        <v>55</v>
      </c>
      <c r="AP352" t="s">
        <v>163</v>
      </c>
      <c r="AS352" t="s">
        <v>323</v>
      </c>
      <c r="AT352" t="s">
        <v>1166</v>
      </c>
      <c r="AU352" t="s">
        <v>2237</v>
      </c>
      <c r="AV352">
        <v>32</v>
      </c>
      <c r="AW352">
        <v>40</v>
      </c>
      <c r="AZ352">
        <v>222000</v>
      </c>
    </row>
    <row r="353" spans="1:52" x14ac:dyDescent="0.3">
      <c r="A353" s="7">
        <v>368</v>
      </c>
      <c r="B353" t="s">
        <v>2136</v>
      </c>
      <c r="C353">
        <v>9.1320700069534605E+17</v>
      </c>
      <c r="D353" t="s">
        <v>2246</v>
      </c>
      <c r="E353" t="s">
        <v>62</v>
      </c>
      <c r="F353" t="s">
        <v>1161</v>
      </c>
      <c r="G353" t="s">
        <v>2247</v>
      </c>
      <c r="H353" s="3">
        <v>41548</v>
      </c>
      <c r="I353" t="s">
        <v>2210</v>
      </c>
      <c r="J353" t="s">
        <v>2141</v>
      </c>
      <c r="K353" t="s">
        <v>2191</v>
      </c>
      <c r="L353">
        <v>15189015203</v>
      </c>
      <c r="N353" t="s">
        <v>2248</v>
      </c>
      <c r="O353" s="2">
        <v>45249</v>
      </c>
      <c r="P353" s="2">
        <v>45980</v>
      </c>
      <c r="Q353" t="s">
        <v>65</v>
      </c>
      <c r="R353" t="s">
        <v>86</v>
      </c>
      <c r="S353" t="s">
        <v>861</v>
      </c>
      <c r="T353" t="s">
        <v>2249</v>
      </c>
      <c r="U353" t="s">
        <v>67</v>
      </c>
      <c r="V353" t="s">
        <v>57</v>
      </c>
      <c r="W353" t="s">
        <v>184</v>
      </c>
      <c r="X353" t="s">
        <v>2212</v>
      </c>
      <c r="Y353">
        <v>15205130419</v>
      </c>
      <c r="Z353" t="s">
        <v>89</v>
      </c>
      <c r="AA353" t="s">
        <v>159</v>
      </c>
      <c r="AB353" t="s">
        <v>65</v>
      </c>
      <c r="AC353">
        <v>950</v>
      </c>
      <c r="AD353" t="s">
        <v>69</v>
      </c>
      <c r="AE353">
        <v>40</v>
      </c>
      <c r="AF353">
        <v>1720</v>
      </c>
      <c r="AP353" t="s">
        <v>93</v>
      </c>
      <c r="AS353" t="s">
        <v>323</v>
      </c>
      <c r="AT353" t="s">
        <v>1190</v>
      </c>
      <c r="AU353" t="s">
        <v>2213</v>
      </c>
      <c r="AV353">
        <v>48</v>
      </c>
      <c r="AW353">
        <v>40</v>
      </c>
      <c r="AZ353">
        <v>222000</v>
      </c>
    </row>
    <row r="354" spans="1:52" x14ac:dyDescent="0.3">
      <c r="A354" s="7">
        <v>369</v>
      </c>
      <c r="B354" t="s">
        <v>1012</v>
      </c>
      <c r="C354" t="s">
        <v>1013</v>
      </c>
      <c r="D354" t="s">
        <v>1014</v>
      </c>
      <c r="E354" t="s">
        <v>62</v>
      </c>
      <c r="F354" t="s">
        <v>1015</v>
      </c>
      <c r="G354" t="s">
        <v>1016</v>
      </c>
      <c r="H354" s="3">
        <v>44910</v>
      </c>
      <c r="I354" t="s">
        <v>1017</v>
      </c>
      <c r="J354" t="s">
        <v>1018</v>
      </c>
      <c r="K354" t="s">
        <v>1019</v>
      </c>
      <c r="L354">
        <v>15861203376</v>
      </c>
      <c r="M354">
        <v>15861203376</v>
      </c>
      <c r="N354" t="s">
        <v>1020</v>
      </c>
      <c r="O354" s="2">
        <v>45734</v>
      </c>
      <c r="P354" s="2">
        <v>46464</v>
      </c>
      <c r="Q354" t="s">
        <v>65</v>
      </c>
      <c r="R354" t="s">
        <v>86</v>
      </c>
      <c r="S354" t="s">
        <v>1021</v>
      </c>
      <c r="T354" t="s">
        <v>1022</v>
      </c>
      <c r="U354" t="s">
        <v>62</v>
      </c>
      <c r="V354" t="s">
        <v>57</v>
      </c>
      <c r="Z354" t="s">
        <v>1023</v>
      </c>
      <c r="AA354" t="s">
        <v>159</v>
      </c>
      <c r="AB354" t="s">
        <v>65</v>
      </c>
      <c r="AC354">
        <v>1190</v>
      </c>
      <c r="AD354" t="s">
        <v>69</v>
      </c>
      <c r="AE354">
        <v>50</v>
      </c>
      <c r="AF354">
        <v>1800</v>
      </c>
      <c r="AP354" t="s">
        <v>1024</v>
      </c>
      <c r="AR354" t="s">
        <v>1025</v>
      </c>
      <c r="AT354" t="s">
        <v>1026</v>
      </c>
      <c r="AU354">
        <v>20</v>
      </c>
      <c r="AV354">
        <v>40</v>
      </c>
      <c r="AZ354">
        <v>222000</v>
      </c>
    </row>
    <row r="355" spans="1:52" x14ac:dyDescent="0.3">
      <c r="A355" s="7">
        <v>370</v>
      </c>
      <c r="B355" t="s">
        <v>1012</v>
      </c>
      <c r="C355" t="s">
        <v>1013</v>
      </c>
      <c r="D355" t="s">
        <v>1027</v>
      </c>
      <c r="E355" t="s">
        <v>62</v>
      </c>
      <c r="F355" t="s">
        <v>1015</v>
      </c>
      <c r="G355" t="s">
        <v>1028</v>
      </c>
      <c r="H355" s="3">
        <v>44910</v>
      </c>
      <c r="I355" t="s">
        <v>1017</v>
      </c>
      <c r="J355" t="s">
        <v>1018</v>
      </c>
      <c r="K355" t="s">
        <v>1019</v>
      </c>
      <c r="L355">
        <v>15861203376</v>
      </c>
      <c r="M355">
        <v>15861203376</v>
      </c>
      <c r="N355" t="s">
        <v>1029</v>
      </c>
      <c r="O355" s="2">
        <v>45734</v>
      </c>
      <c r="P355" s="2">
        <v>46464</v>
      </c>
      <c r="Q355" t="s">
        <v>65</v>
      </c>
      <c r="R355" t="s">
        <v>86</v>
      </c>
      <c r="S355" t="s">
        <v>1021</v>
      </c>
      <c r="T355" t="s">
        <v>1030</v>
      </c>
      <c r="U355" t="s">
        <v>62</v>
      </c>
      <c r="V355" t="s">
        <v>57</v>
      </c>
      <c r="Z355" t="s">
        <v>1023</v>
      </c>
      <c r="AA355" t="s">
        <v>159</v>
      </c>
      <c r="AB355" t="s">
        <v>65</v>
      </c>
      <c r="AC355">
        <v>1190</v>
      </c>
      <c r="AD355" t="s">
        <v>69</v>
      </c>
      <c r="AE355">
        <v>50</v>
      </c>
      <c r="AF355">
        <v>1800</v>
      </c>
      <c r="AP355" t="s">
        <v>1024</v>
      </c>
      <c r="AR355" t="s">
        <v>1031</v>
      </c>
      <c r="AT355" t="s">
        <v>1026</v>
      </c>
      <c r="AU355">
        <v>20</v>
      </c>
      <c r="AV355">
        <v>40</v>
      </c>
      <c r="AZ355">
        <v>222000</v>
      </c>
    </row>
    <row r="356" spans="1:52" x14ac:dyDescent="0.3">
      <c r="A356" s="7">
        <v>371</v>
      </c>
      <c r="B356" t="s">
        <v>1012</v>
      </c>
      <c r="C356" t="s">
        <v>1013</v>
      </c>
      <c r="D356" t="s">
        <v>1032</v>
      </c>
      <c r="E356" t="s">
        <v>62</v>
      </c>
      <c r="F356" t="s">
        <v>1015</v>
      </c>
      <c r="G356" t="s">
        <v>1033</v>
      </c>
      <c r="H356" s="3">
        <v>44910</v>
      </c>
      <c r="I356" t="s">
        <v>1017</v>
      </c>
      <c r="J356" t="s">
        <v>1018</v>
      </c>
      <c r="K356" t="s">
        <v>1019</v>
      </c>
      <c r="L356">
        <v>15861203376</v>
      </c>
      <c r="M356">
        <v>15861203376</v>
      </c>
      <c r="N356" t="s">
        <v>1034</v>
      </c>
      <c r="O356" s="2">
        <v>45734</v>
      </c>
      <c r="P356" s="2">
        <v>46464</v>
      </c>
      <c r="Q356" t="s">
        <v>65</v>
      </c>
      <c r="R356" t="s">
        <v>86</v>
      </c>
      <c r="S356" t="s">
        <v>1021</v>
      </c>
      <c r="T356" t="s">
        <v>1035</v>
      </c>
      <c r="U356" t="s">
        <v>62</v>
      </c>
      <c r="V356" t="s">
        <v>57</v>
      </c>
      <c r="Z356" t="s">
        <v>1023</v>
      </c>
      <c r="AA356" t="s">
        <v>159</v>
      </c>
      <c r="AB356" t="s">
        <v>65</v>
      </c>
      <c r="AC356">
        <v>1190</v>
      </c>
      <c r="AD356" t="s">
        <v>69</v>
      </c>
      <c r="AE356">
        <v>50</v>
      </c>
      <c r="AF356">
        <v>1800</v>
      </c>
      <c r="AP356" t="s">
        <v>1024</v>
      </c>
      <c r="AR356" t="s">
        <v>1036</v>
      </c>
      <c r="AT356" t="s">
        <v>1026</v>
      </c>
      <c r="AU356">
        <v>20</v>
      </c>
      <c r="AV356">
        <v>40</v>
      </c>
      <c r="AZ356">
        <v>222000</v>
      </c>
    </row>
    <row r="357" spans="1:52" x14ac:dyDescent="0.3">
      <c r="A357" s="7">
        <v>372</v>
      </c>
      <c r="B357" t="s">
        <v>1012</v>
      </c>
      <c r="C357" t="s">
        <v>1013</v>
      </c>
      <c r="D357" t="s">
        <v>1037</v>
      </c>
      <c r="E357" t="s">
        <v>62</v>
      </c>
      <c r="F357" t="s">
        <v>1015</v>
      </c>
      <c r="G357" t="s">
        <v>1038</v>
      </c>
      <c r="H357" s="3">
        <v>44910</v>
      </c>
      <c r="I357" t="s">
        <v>1017</v>
      </c>
      <c r="J357" t="s">
        <v>1018</v>
      </c>
      <c r="K357" t="s">
        <v>1019</v>
      </c>
      <c r="L357">
        <v>15861203376</v>
      </c>
      <c r="M357">
        <v>15861203376</v>
      </c>
      <c r="N357" t="s">
        <v>1039</v>
      </c>
      <c r="O357" s="2">
        <v>45734</v>
      </c>
      <c r="P357" s="2">
        <v>46464</v>
      </c>
      <c r="Q357" t="s">
        <v>65</v>
      </c>
      <c r="R357" t="s">
        <v>86</v>
      </c>
      <c r="S357" t="s">
        <v>1021</v>
      </c>
      <c r="T357" t="s">
        <v>1040</v>
      </c>
      <c r="U357" t="s">
        <v>62</v>
      </c>
      <c r="V357" t="s">
        <v>57</v>
      </c>
      <c r="Z357" t="s">
        <v>1023</v>
      </c>
      <c r="AA357" t="s">
        <v>159</v>
      </c>
      <c r="AB357" t="s">
        <v>65</v>
      </c>
      <c r="AC357">
        <v>1190</v>
      </c>
      <c r="AD357" t="s">
        <v>69</v>
      </c>
      <c r="AE357">
        <v>50</v>
      </c>
      <c r="AF357">
        <v>1800</v>
      </c>
      <c r="AP357" t="s">
        <v>1024</v>
      </c>
      <c r="AR357" t="s">
        <v>1041</v>
      </c>
      <c r="AT357" t="s">
        <v>1026</v>
      </c>
      <c r="AU357">
        <v>20</v>
      </c>
      <c r="AV357">
        <v>40</v>
      </c>
      <c r="AZ357">
        <v>222000</v>
      </c>
    </row>
    <row r="358" spans="1:52" x14ac:dyDescent="0.3">
      <c r="A358" s="7">
        <v>373</v>
      </c>
      <c r="B358" t="s">
        <v>1012</v>
      </c>
      <c r="C358" t="s">
        <v>1013</v>
      </c>
      <c r="D358" t="s">
        <v>1042</v>
      </c>
      <c r="E358" t="s">
        <v>62</v>
      </c>
      <c r="F358" t="s">
        <v>1015</v>
      </c>
      <c r="G358" t="s">
        <v>1043</v>
      </c>
      <c r="H358" s="3">
        <v>44910</v>
      </c>
      <c r="I358" t="s">
        <v>1044</v>
      </c>
      <c r="J358" t="s">
        <v>1018</v>
      </c>
      <c r="K358" t="s">
        <v>1019</v>
      </c>
      <c r="L358">
        <v>15861203376</v>
      </c>
      <c r="M358">
        <v>15861203376</v>
      </c>
      <c r="N358" t="s">
        <v>1045</v>
      </c>
      <c r="O358" s="2">
        <v>45755</v>
      </c>
      <c r="P358" s="2">
        <v>46485</v>
      </c>
      <c r="Q358" t="s">
        <v>65</v>
      </c>
      <c r="R358" t="s">
        <v>86</v>
      </c>
      <c r="S358" t="s">
        <v>1021</v>
      </c>
      <c r="T358" t="s">
        <v>1046</v>
      </c>
      <c r="U358" t="s">
        <v>62</v>
      </c>
      <c r="V358" t="s">
        <v>57</v>
      </c>
      <c r="Z358" t="s">
        <v>1023</v>
      </c>
      <c r="AA358" t="s">
        <v>159</v>
      </c>
      <c r="AB358" t="s">
        <v>65</v>
      </c>
      <c r="AC358">
        <v>1190</v>
      </c>
      <c r="AD358" t="s">
        <v>69</v>
      </c>
      <c r="AE358">
        <v>50</v>
      </c>
      <c r="AF358">
        <v>1800</v>
      </c>
      <c r="AP358" t="s">
        <v>1024</v>
      </c>
      <c r="AR358" t="s">
        <v>1047</v>
      </c>
      <c r="AT358" t="s">
        <v>1026</v>
      </c>
      <c r="AU358">
        <v>20</v>
      </c>
      <c r="AV358">
        <v>40</v>
      </c>
      <c r="AZ358">
        <v>222000</v>
      </c>
    </row>
    <row r="359" spans="1:52" x14ac:dyDescent="0.3">
      <c r="A359" s="7">
        <v>374</v>
      </c>
      <c r="B359" t="s">
        <v>1012</v>
      </c>
      <c r="C359" t="s">
        <v>1013</v>
      </c>
      <c r="D359" t="s">
        <v>1048</v>
      </c>
      <c r="E359" t="s">
        <v>62</v>
      </c>
      <c r="F359" t="s">
        <v>1015</v>
      </c>
      <c r="G359" t="s">
        <v>1049</v>
      </c>
      <c r="H359" s="3">
        <v>44910</v>
      </c>
      <c r="I359" t="s">
        <v>1044</v>
      </c>
      <c r="J359" t="s">
        <v>1018</v>
      </c>
      <c r="K359" t="s">
        <v>1019</v>
      </c>
      <c r="L359">
        <v>15861203376</v>
      </c>
      <c r="M359">
        <v>15861203376</v>
      </c>
      <c r="N359" t="s">
        <v>1050</v>
      </c>
      <c r="O359" s="2">
        <v>45755</v>
      </c>
      <c r="P359" s="2">
        <v>46485</v>
      </c>
      <c r="Q359" t="s">
        <v>65</v>
      </c>
      <c r="R359" t="s">
        <v>86</v>
      </c>
      <c r="S359" t="s">
        <v>1021</v>
      </c>
      <c r="T359" t="s">
        <v>1051</v>
      </c>
      <c r="U359" t="s">
        <v>62</v>
      </c>
      <c r="V359" t="s">
        <v>57</v>
      </c>
      <c r="Z359" t="s">
        <v>1023</v>
      </c>
      <c r="AA359" t="s">
        <v>159</v>
      </c>
      <c r="AB359" t="s">
        <v>65</v>
      </c>
      <c r="AC359">
        <v>1190</v>
      </c>
      <c r="AD359" t="s">
        <v>69</v>
      </c>
      <c r="AE359">
        <v>50</v>
      </c>
      <c r="AF359">
        <v>1800</v>
      </c>
      <c r="AP359" t="s">
        <v>1024</v>
      </c>
      <c r="AR359" t="s">
        <v>1052</v>
      </c>
      <c r="AT359" t="s">
        <v>1026</v>
      </c>
      <c r="AU359">
        <v>20</v>
      </c>
      <c r="AV359">
        <v>40</v>
      </c>
      <c r="AZ359">
        <v>222000</v>
      </c>
    </row>
    <row r="360" spans="1:52" x14ac:dyDescent="0.3">
      <c r="A360" s="7">
        <v>375</v>
      </c>
      <c r="B360" t="s">
        <v>1012</v>
      </c>
      <c r="C360" t="s">
        <v>1013</v>
      </c>
      <c r="D360" t="s">
        <v>1053</v>
      </c>
      <c r="E360" t="s">
        <v>62</v>
      </c>
      <c r="F360" t="s">
        <v>1015</v>
      </c>
      <c r="G360" t="s">
        <v>1054</v>
      </c>
      <c r="H360" s="3">
        <v>44910</v>
      </c>
      <c r="I360" t="s">
        <v>1044</v>
      </c>
      <c r="J360" t="s">
        <v>1018</v>
      </c>
      <c r="K360" t="s">
        <v>1019</v>
      </c>
      <c r="L360">
        <v>15861203376</v>
      </c>
      <c r="M360">
        <v>15861203376</v>
      </c>
      <c r="N360" t="s">
        <v>1055</v>
      </c>
      <c r="O360" s="2">
        <v>45755</v>
      </c>
      <c r="P360" s="2">
        <v>46485</v>
      </c>
      <c r="Q360" t="s">
        <v>65</v>
      </c>
      <c r="R360" t="s">
        <v>86</v>
      </c>
      <c r="S360" t="s">
        <v>1021</v>
      </c>
      <c r="T360" t="s">
        <v>1056</v>
      </c>
      <c r="U360" t="s">
        <v>62</v>
      </c>
      <c r="V360" t="s">
        <v>57</v>
      </c>
      <c r="Z360" t="s">
        <v>1023</v>
      </c>
      <c r="AA360" t="s">
        <v>159</v>
      </c>
      <c r="AB360" t="s">
        <v>65</v>
      </c>
      <c r="AC360">
        <v>1190</v>
      </c>
      <c r="AD360" t="s">
        <v>69</v>
      </c>
      <c r="AE360">
        <v>50</v>
      </c>
      <c r="AF360">
        <v>1800</v>
      </c>
      <c r="AP360" t="s">
        <v>1024</v>
      </c>
      <c r="AR360" t="s">
        <v>1057</v>
      </c>
      <c r="AT360" t="s">
        <v>1026</v>
      </c>
      <c r="AU360">
        <v>20</v>
      </c>
      <c r="AV360">
        <v>40</v>
      </c>
      <c r="AZ360">
        <v>222000</v>
      </c>
    </row>
    <row r="361" spans="1:52" x14ac:dyDescent="0.3">
      <c r="A361" s="7">
        <v>376</v>
      </c>
      <c r="B361" t="s">
        <v>1012</v>
      </c>
      <c r="C361" t="s">
        <v>1013</v>
      </c>
      <c r="D361" t="s">
        <v>1058</v>
      </c>
      <c r="E361" t="s">
        <v>62</v>
      </c>
      <c r="F361" t="s">
        <v>1015</v>
      </c>
      <c r="G361" t="s">
        <v>1059</v>
      </c>
      <c r="H361" s="3">
        <v>44910</v>
      </c>
      <c r="I361" t="s">
        <v>1044</v>
      </c>
      <c r="J361" t="s">
        <v>1018</v>
      </c>
      <c r="K361" t="s">
        <v>1019</v>
      </c>
      <c r="L361">
        <v>15861203376</v>
      </c>
      <c r="M361">
        <v>15861203376</v>
      </c>
      <c r="N361" t="s">
        <v>1060</v>
      </c>
      <c r="O361" s="2">
        <v>45755</v>
      </c>
      <c r="P361" s="2">
        <v>46485</v>
      </c>
      <c r="Q361" t="s">
        <v>65</v>
      </c>
      <c r="R361" t="s">
        <v>86</v>
      </c>
      <c r="S361" t="s">
        <v>1021</v>
      </c>
      <c r="T361" t="s">
        <v>1061</v>
      </c>
      <c r="U361" t="s">
        <v>62</v>
      </c>
      <c r="V361" t="s">
        <v>57</v>
      </c>
      <c r="Z361" t="s">
        <v>1023</v>
      </c>
      <c r="AA361" t="s">
        <v>159</v>
      </c>
      <c r="AB361" t="s">
        <v>65</v>
      </c>
      <c r="AC361">
        <v>1190</v>
      </c>
      <c r="AD361" t="s">
        <v>69</v>
      </c>
      <c r="AE361">
        <v>50</v>
      </c>
      <c r="AF361">
        <v>1800</v>
      </c>
      <c r="AP361" t="s">
        <v>1024</v>
      </c>
      <c r="AR361" t="s">
        <v>1062</v>
      </c>
      <c r="AT361" t="s">
        <v>1026</v>
      </c>
      <c r="AU361">
        <v>20</v>
      </c>
      <c r="AV361">
        <v>40</v>
      </c>
      <c r="AZ361">
        <v>222000</v>
      </c>
    </row>
    <row r="362" spans="1:52" x14ac:dyDescent="0.3">
      <c r="A362" s="7">
        <v>377</v>
      </c>
      <c r="B362" t="s">
        <v>1012</v>
      </c>
      <c r="C362" t="s">
        <v>1013</v>
      </c>
      <c r="D362" t="s">
        <v>1063</v>
      </c>
      <c r="E362" t="s">
        <v>62</v>
      </c>
      <c r="F362" t="s">
        <v>1015</v>
      </c>
      <c r="G362" t="s">
        <v>1064</v>
      </c>
      <c r="H362" s="3">
        <v>44910</v>
      </c>
      <c r="I362" t="s">
        <v>1044</v>
      </c>
      <c r="J362" t="s">
        <v>1018</v>
      </c>
      <c r="K362" t="s">
        <v>1019</v>
      </c>
      <c r="L362">
        <v>15861203376</v>
      </c>
      <c r="M362">
        <v>15861203376</v>
      </c>
      <c r="N362" t="s">
        <v>1065</v>
      </c>
      <c r="O362" s="2">
        <v>45755</v>
      </c>
      <c r="P362" s="2">
        <v>46485</v>
      </c>
      <c r="Q362" t="s">
        <v>65</v>
      </c>
      <c r="R362" t="s">
        <v>86</v>
      </c>
      <c r="S362" t="s">
        <v>1021</v>
      </c>
      <c r="T362" t="s">
        <v>1066</v>
      </c>
      <c r="U362" t="s">
        <v>62</v>
      </c>
      <c r="V362" t="s">
        <v>57</v>
      </c>
      <c r="Z362" t="s">
        <v>1023</v>
      </c>
      <c r="AA362" t="s">
        <v>159</v>
      </c>
      <c r="AB362" t="s">
        <v>65</v>
      </c>
      <c r="AC362">
        <v>1190</v>
      </c>
      <c r="AD362" t="s">
        <v>69</v>
      </c>
      <c r="AE362">
        <v>50</v>
      </c>
      <c r="AF362">
        <v>1800</v>
      </c>
      <c r="AP362" t="s">
        <v>1024</v>
      </c>
      <c r="AR362" t="s">
        <v>1067</v>
      </c>
      <c r="AT362" t="s">
        <v>1026</v>
      </c>
      <c r="AU362">
        <v>20</v>
      </c>
      <c r="AV362">
        <v>40</v>
      </c>
      <c r="AZ362">
        <v>222000</v>
      </c>
    </row>
    <row r="363" spans="1:52" x14ac:dyDescent="0.3">
      <c r="A363" s="7">
        <v>378</v>
      </c>
      <c r="B363" t="s">
        <v>1012</v>
      </c>
      <c r="C363" t="s">
        <v>1013</v>
      </c>
      <c r="D363" t="s">
        <v>1068</v>
      </c>
      <c r="E363" t="s">
        <v>62</v>
      </c>
      <c r="F363" t="s">
        <v>1015</v>
      </c>
      <c r="G363" t="s">
        <v>1069</v>
      </c>
      <c r="H363" s="3">
        <v>44910</v>
      </c>
      <c r="I363" t="s">
        <v>1044</v>
      </c>
      <c r="J363" t="s">
        <v>1018</v>
      </c>
      <c r="K363" t="s">
        <v>1019</v>
      </c>
      <c r="L363">
        <v>15861203376</v>
      </c>
      <c r="M363">
        <v>15861203376</v>
      </c>
      <c r="N363" t="s">
        <v>1070</v>
      </c>
      <c r="O363" s="2">
        <v>45755</v>
      </c>
      <c r="P363" s="2">
        <v>46485</v>
      </c>
      <c r="Q363" t="s">
        <v>65</v>
      </c>
      <c r="R363" t="s">
        <v>86</v>
      </c>
      <c r="S363" t="s">
        <v>1021</v>
      </c>
      <c r="T363" t="s">
        <v>1071</v>
      </c>
      <c r="U363" t="s">
        <v>62</v>
      </c>
      <c r="V363" t="s">
        <v>57</v>
      </c>
      <c r="Z363" t="s">
        <v>1023</v>
      </c>
      <c r="AA363" t="s">
        <v>159</v>
      </c>
      <c r="AB363" t="s">
        <v>65</v>
      </c>
      <c r="AC363">
        <v>1190</v>
      </c>
      <c r="AD363" t="s">
        <v>69</v>
      </c>
      <c r="AE363">
        <v>50</v>
      </c>
      <c r="AF363">
        <v>1800</v>
      </c>
      <c r="AP363" t="s">
        <v>1024</v>
      </c>
      <c r="AR363" t="s">
        <v>1072</v>
      </c>
      <c r="AT363" t="s">
        <v>1026</v>
      </c>
      <c r="AU363">
        <v>20</v>
      </c>
      <c r="AV363">
        <v>40</v>
      </c>
      <c r="AZ363">
        <v>222000</v>
      </c>
    </row>
    <row r="364" spans="1:52" x14ac:dyDescent="0.3">
      <c r="A364" s="7">
        <v>379</v>
      </c>
      <c r="B364" t="s">
        <v>1012</v>
      </c>
      <c r="C364" t="s">
        <v>1013</v>
      </c>
      <c r="D364" t="s">
        <v>1073</v>
      </c>
      <c r="E364" t="s">
        <v>62</v>
      </c>
      <c r="F364" t="s">
        <v>1015</v>
      </c>
      <c r="G364" t="s">
        <v>1074</v>
      </c>
      <c r="H364" s="3">
        <v>44844</v>
      </c>
      <c r="I364" t="s">
        <v>1075</v>
      </c>
      <c r="J364" t="s">
        <v>1018</v>
      </c>
      <c r="K364" t="s">
        <v>1019</v>
      </c>
      <c r="L364">
        <v>15861203376</v>
      </c>
      <c r="M364">
        <v>15861203376</v>
      </c>
      <c r="N364" t="s">
        <v>1076</v>
      </c>
      <c r="O364" s="2">
        <v>45668</v>
      </c>
      <c r="P364" s="2">
        <v>46398</v>
      </c>
      <c r="Q364" t="s">
        <v>65</v>
      </c>
      <c r="R364" t="s">
        <v>86</v>
      </c>
      <c r="S364" t="s">
        <v>1021</v>
      </c>
      <c r="T364" t="s">
        <v>1077</v>
      </c>
      <c r="U364" t="s">
        <v>62</v>
      </c>
      <c r="V364" t="s">
        <v>57</v>
      </c>
      <c r="Z364" t="s">
        <v>1023</v>
      </c>
      <c r="AA364" t="s">
        <v>159</v>
      </c>
      <c r="AB364" t="s">
        <v>65</v>
      </c>
      <c r="AC364">
        <v>1190</v>
      </c>
      <c r="AD364" t="s">
        <v>69</v>
      </c>
      <c r="AE364">
        <v>50</v>
      </c>
      <c r="AF364">
        <v>1800</v>
      </c>
      <c r="AP364" t="s">
        <v>1024</v>
      </c>
      <c r="AR364" t="s">
        <v>1078</v>
      </c>
      <c r="AT364" t="s">
        <v>1079</v>
      </c>
      <c r="AU364">
        <v>20</v>
      </c>
      <c r="AV364">
        <v>40</v>
      </c>
      <c r="AZ364">
        <v>222000</v>
      </c>
    </row>
    <row r="365" spans="1:52" x14ac:dyDescent="0.3">
      <c r="A365" s="7">
        <v>380</v>
      </c>
      <c r="B365" t="s">
        <v>1012</v>
      </c>
      <c r="C365" t="s">
        <v>1013</v>
      </c>
      <c r="D365" t="s">
        <v>1080</v>
      </c>
      <c r="E365" t="s">
        <v>62</v>
      </c>
      <c r="F365" t="s">
        <v>1015</v>
      </c>
      <c r="G365" t="s">
        <v>1081</v>
      </c>
      <c r="H365" s="3">
        <v>44844</v>
      </c>
      <c r="I365" t="s">
        <v>1075</v>
      </c>
      <c r="J365" t="s">
        <v>1018</v>
      </c>
      <c r="K365" t="s">
        <v>1019</v>
      </c>
      <c r="L365">
        <v>15861203376</v>
      </c>
      <c r="M365">
        <v>15861203376</v>
      </c>
      <c r="N365" t="s">
        <v>1082</v>
      </c>
      <c r="O365" s="2">
        <v>45668</v>
      </c>
      <c r="P365" s="2">
        <v>46398</v>
      </c>
      <c r="Q365" t="s">
        <v>65</v>
      </c>
      <c r="R365" t="s">
        <v>86</v>
      </c>
      <c r="S365" t="s">
        <v>1021</v>
      </c>
      <c r="T365" t="s">
        <v>1083</v>
      </c>
      <c r="U365" t="s">
        <v>62</v>
      </c>
      <c r="V365" t="s">
        <v>57</v>
      </c>
      <c r="Z365" t="s">
        <v>1023</v>
      </c>
      <c r="AA365" t="s">
        <v>159</v>
      </c>
      <c r="AB365" t="s">
        <v>65</v>
      </c>
      <c r="AC365">
        <v>1190</v>
      </c>
      <c r="AD365" t="s">
        <v>69</v>
      </c>
      <c r="AE365">
        <v>50</v>
      </c>
      <c r="AF365">
        <v>1800</v>
      </c>
      <c r="AP365" t="s">
        <v>1024</v>
      </c>
      <c r="AR365" t="s">
        <v>1084</v>
      </c>
      <c r="AT365" t="s">
        <v>1079</v>
      </c>
      <c r="AU365">
        <v>20</v>
      </c>
      <c r="AV365">
        <v>40</v>
      </c>
      <c r="AZ365">
        <v>222000</v>
      </c>
    </row>
    <row r="366" spans="1:52" x14ac:dyDescent="0.3">
      <c r="A366" s="7">
        <v>381</v>
      </c>
      <c r="B366" t="s">
        <v>1012</v>
      </c>
      <c r="C366" t="s">
        <v>1013</v>
      </c>
      <c r="D366" t="s">
        <v>1085</v>
      </c>
      <c r="E366" t="s">
        <v>62</v>
      </c>
      <c r="F366" t="s">
        <v>1015</v>
      </c>
      <c r="G366" t="s">
        <v>1086</v>
      </c>
      <c r="H366" s="3">
        <v>44844</v>
      </c>
      <c r="I366" t="s">
        <v>1075</v>
      </c>
      <c r="J366" t="s">
        <v>1018</v>
      </c>
      <c r="K366" t="s">
        <v>1019</v>
      </c>
      <c r="L366">
        <v>15861203376</v>
      </c>
      <c r="M366">
        <v>15861203376</v>
      </c>
      <c r="N366" t="s">
        <v>1087</v>
      </c>
      <c r="O366" s="2">
        <v>45668</v>
      </c>
      <c r="P366" s="2">
        <v>46398</v>
      </c>
      <c r="Q366" t="s">
        <v>65</v>
      </c>
      <c r="R366" t="s">
        <v>86</v>
      </c>
      <c r="S366" t="s">
        <v>1021</v>
      </c>
      <c r="T366" t="s">
        <v>1088</v>
      </c>
      <c r="U366" t="s">
        <v>62</v>
      </c>
      <c r="V366" t="s">
        <v>57</v>
      </c>
      <c r="Z366" t="s">
        <v>1023</v>
      </c>
      <c r="AA366" t="s">
        <v>159</v>
      </c>
      <c r="AB366" t="s">
        <v>65</v>
      </c>
      <c r="AC366">
        <v>1190</v>
      </c>
      <c r="AD366" t="s">
        <v>69</v>
      </c>
      <c r="AE366">
        <v>50</v>
      </c>
      <c r="AF366">
        <v>1800</v>
      </c>
      <c r="AP366" t="s">
        <v>1024</v>
      </c>
      <c r="AR366" t="s">
        <v>1089</v>
      </c>
      <c r="AT366" t="s">
        <v>1079</v>
      </c>
      <c r="AU366">
        <v>20</v>
      </c>
      <c r="AV366">
        <v>40</v>
      </c>
      <c r="AZ366">
        <v>222000</v>
      </c>
    </row>
    <row r="367" spans="1:52" x14ac:dyDescent="0.3">
      <c r="A367" s="7">
        <v>382</v>
      </c>
      <c r="B367" t="s">
        <v>1012</v>
      </c>
      <c r="C367" t="s">
        <v>1013</v>
      </c>
      <c r="D367" t="s">
        <v>1090</v>
      </c>
      <c r="E367" t="s">
        <v>62</v>
      </c>
      <c r="F367" t="s">
        <v>1015</v>
      </c>
      <c r="G367" t="s">
        <v>1091</v>
      </c>
      <c r="H367" s="3">
        <v>44844</v>
      </c>
      <c r="I367" t="s">
        <v>1075</v>
      </c>
      <c r="J367" t="s">
        <v>1018</v>
      </c>
      <c r="K367" t="s">
        <v>1019</v>
      </c>
      <c r="L367">
        <v>15861203376</v>
      </c>
      <c r="M367">
        <v>15861203376</v>
      </c>
      <c r="N367" t="s">
        <v>1092</v>
      </c>
      <c r="O367" s="2">
        <v>45668</v>
      </c>
      <c r="P367" s="2">
        <v>46398</v>
      </c>
      <c r="Q367" t="s">
        <v>65</v>
      </c>
      <c r="R367" t="s">
        <v>86</v>
      </c>
      <c r="S367" t="s">
        <v>1021</v>
      </c>
      <c r="T367" t="s">
        <v>1093</v>
      </c>
      <c r="U367" t="s">
        <v>62</v>
      </c>
      <c r="V367" t="s">
        <v>57</v>
      </c>
      <c r="Z367" t="s">
        <v>1023</v>
      </c>
      <c r="AA367" t="s">
        <v>159</v>
      </c>
      <c r="AB367" t="s">
        <v>65</v>
      </c>
      <c r="AC367">
        <v>1190</v>
      </c>
      <c r="AD367" t="s">
        <v>69</v>
      </c>
      <c r="AE367">
        <v>50</v>
      </c>
      <c r="AF367">
        <v>1800</v>
      </c>
      <c r="AP367" t="s">
        <v>1024</v>
      </c>
      <c r="AR367" t="s">
        <v>1094</v>
      </c>
      <c r="AT367" t="s">
        <v>1079</v>
      </c>
      <c r="AU367">
        <v>20</v>
      </c>
      <c r="AV367">
        <v>40</v>
      </c>
      <c r="AZ367">
        <v>222000</v>
      </c>
    </row>
    <row r="368" spans="1:52" x14ac:dyDescent="0.3">
      <c r="A368" s="7">
        <v>383</v>
      </c>
      <c r="B368" t="s">
        <v>1012</v>
      </c>
      <c r="C368" t="s">
        <v>1013</v>
      </c>
      <c r="D368" t="s">
        <v>1095</v>
      </c>
      <c r="E368" t="s">
        <v>62</v>
      </c>
      <c r="F368" t="s">
        <v>1015</v>
      </c>
      <c r="G368" t="s">
        <v>1096</v>
      </c>
      <c r="H368" s="3">
        <v>44844</v>
      </c>
      <c r="I368" t="s">
        <v>1075</v>
      </c>
      <c r="J368" t="s">
        <v>1018</v>
      </c>
      <c r="K368" t="s">
        <v>1019</v>
      </c>
      <c r="L368">
        <v>15861203376</v>
      </c>
      <c r="M368">
        <v>15861203376</v>
      </c>
      <c r="N368" t="s">
        <v>1097</v>
      </c>
      <c r="O368" s="2">
        <v>45668</v>
      </c>
      <c r="P368" s="2">
        <v>46398</v>
      </c>
      <c r="Q368" t="s">
        <v>65</v>
      </c>
      <c r="R368" t="s">
        <v>86</v>
      </c>
      <c r="S368" t="s">
        <v>1021</v>
      </c>
      <c r="T368" t="s">
        <v>1098</v>
      </c>
      <c r="U368" t="s">
        <v>62</v>
      </c>
      <c r="V368" t="s">
        <v>57</v>
      </c>
      <c r="Z368" t="s">
        <v>1023</v>
      </c>
      <c r="AA368" t="s">
        <v>159</v>
      </c>
      <c r="AB368" t="s">
        <v>65</v>
      </c>
      <c r="AC368">
        <v>1190</v>
      </c>
      <c r="AD368" t="s">
        <v>69</v>
      </c>
      <c r="AE368">
        <v>50</v>
      </c>
      <c r="AF368">
        <v>1800</v>
      </c>
      <c r="AP368" t="s">
        <v>1024</v>
      </c>
      <c r="AR368" t="s">
        <v>1099</v>
      </c>
      <c r="AT368" t="s">
        <v>1079</v>
      </c>
      <c r="AU368">
        <v>20</v>
      </c>
      <c r="AV368">
        <v>40</v>
      </c>
      <c r="AZ368">
        <v>222000</v>
      </c>
    </row>
    <row r="369" spans="1:57" x14ac:dyDescent="0.3">
      <c r="A369" s="7">
        <v>384</v>
      </c>
      <c r="B369" t="s">
        <v>1279</v>
      </c>
      <c r="C369" t="s">
        <v>1280</v>
      </c>
      <c r="D369" t="s">
        <v>1281</v>
      </c>
      <c r="E369" t="s">
        <v>531</v>
      </c>
      <c r="F369" t="s">
        <v>1282</v>
      </c>
      <c r="G369" t="s">
        <v>1283</v>
      </c>
      <c r="H369" t="s">
        <v>1284</v>
      </c>
      <c r="I369" t="s">
        <v>1285</v>
      </c>
      <c r="J369" t="s">
        <v>1286</v>
      </c>
      <c r="K369" t="s">
        <v>1287</v>
      </c>
      <c r="L369">
        <v>13905132816</v>
      </c>
      <c r="M369">
        <v>13905132816</v>
      </c>
      <c r="N369" t="s">
        <v>1288</v>
      </c>
      <c r="O369" s="2">
        <v>45485</v>
      </c>
      <c r="P369" s="2">
        <v>46215</v>
      </c>
      <c r="Q369" t="s">
        <v>65</v>
      </c>
      <c r="R369" t="s">
        <v>86</v>
      </c>
      <c r="S369" t="s">
        <v>195</v>
      </c>
      <c r="T369" t="s">
        <v>1289</v>
      </c>
      <c r="U369" t="s">
        <v>531</v>
      </c>
      <c r="V369" t="s">
        <v>57</v>
      </c>
      <c r="X369" t="s">
        <v>1287</v>
      </c>
      <c r="Y369">
        <v>13905132816</v>
      </c>
      <c r="Z369" t="s">
        <v>1290</v>
      </c>
      <c r="AA369" t="s">
        <v>159</v>
      </c>
      <c r="AB369" t="s">
        <v>65</v>
      </c>
      <c r="AC369">
        <v>650</v>
      </c>
      <c r="AD369" t="s">
        <v>69</v>
      </c>
      <c r="AE369">
        <v>41</v>
      </c>
      <c r="AH369">
        <v>10.5</v>
      </c>
      <c r="AK369" t="s">
        <v>990</v>
      </c>
      <c r="AN369">
        <v>28</v>
      </c>
      <c r="AP369" t="s">
        <v>163</v>
      </c>
      <c r="AQ369" t="s">
        <v>117</v>
      </c>
      <c r="AS369" t="s">
        <v>1291</v>
      </c>
      <c r="AT369" t="s">
        <v>990</v>
      </c>
      <c r="AU369">
        <f>-3-11</f>
        <v>-14</v>
      </c>
      <c r="AV369">
        <v>28</v>
      </c>
      <c r="AW369">
        <v>41</v>
      </c>
      <c r="AZ369">
        <v>222042</v>
      </c>
      <c r="BB369" t="s">
        <v>473</v>
      </c>
      <c r="BD369" t="s">
        <v>474</v>
      </c>
      <c r="BE369" t="s">
        <v>475</v>
      </c>
    </row>
    <row r="370" spans="1:57" x14ac:dyDescent="0.3">
      <c r="A370" s="7">
        <v>385</v>
      </c>
      <c r="B370" t="s">
        <v>1279</v>
      </c>
      <c r="C370" t="s">
        <v>1280</v>
      </c>
      <c r="D370" t="s">
        <v>1292</v>
      </c>
      <c r="E370" t="s">
        <v>62</v>
      </c>
      <c r="F370" t="s">
        <v>1293</v>
      </c>
      <c r="G370">
        <v>20110020</v>
      </c>
      <c r="H370" s="3">
        <v>40877</v>
      </c>
      <c r="I370" t="s">
        <v>1294</v>
      </c>
      <c r="J370" t="s">
        <v>1295</v>
      </c>
      <c r="K370" t="s">
        <v>1296</v>
      </c>
      <c r="L370">
        <v>13815650707</v>
      </c>
      <c r="N370" t="s">
        <v>1297</v>
      </c>
      <c r="O370" s="2">
        <v>45384</v>
      </c>
      <c r="P370" s="2">
        <v>46113</v>
      </c>
      <c r="Q370" t="s">
        <v>65</v>
      </c>
      <c r="R370" t="s">
        <v>86</v>
      </c>
      <c r="S370" t="s">
        <v>87</v>
      </c>
      <c r="T370" t="s">
        <v>1298</v>
      </c>
      <c r="U370" t="s">
        <v>67</v>
      </c>
      <c r="V370" t="s">
        <v>57</v>
      </c>
      <c r="X370" t="s">
        <v>1296</v>
      </c>
      <c r="Y370">
        <v>13815650707</v>
      </c>
      <c r="Z370" t="s">
        <v>1290</v>
      </c>
      <c r="AA370" t="s">
        <v>159</v>
      </c>
      <c r="AB370" t="s">
        <v>65</v>
      </c>
      <c r="AC370">
        <v>750</v>
      </c>
      <c r="AD370" t="s">
        <v>69</v>
      </c>
      <c r="AE370">
        <v>20</v>
      </c>
      <c r="AF370">
        <v>392</v>
      </c>
      <c r="AK370">
        <v>50</v>
      </c>
      <c r="AP370" t="s">
        <v>93</v>
      </c>
      <c r="AS370" t="s">
        <v>1299</v>
      </c>
      <c r="AT370" t="s">
        <v>1300</v>
      </c>
      <c r="AU370">
        <f>-6-12/-6-20</f>
        <v>-24</v>
      </c>
      <c r="AV370">
        <v>28</v>
      </c>
      <c r="AW370">
        <v>20</v>
      </c>
      <c r="AZ370">
        <v>222000</v>
      </c>
    </row>
    <row r="371" spans="1:57" x14ac:dyDescent="0.3">
      <c r="A371" s="7">
        <v>386</v>
      </c>
      <c r="B371" t="s">
        <v>1279</v>
      </c>
      <c r="C371" t="s">
        <v>1280</v>
      </c>
      <c r="D371" t="s">
        <v>1301</v>
      </c>
      <c r="E371" t="s">
        <v>62</v>
      </c>
      <c r="F371" t="s">
        <v>1302</v>
      </c>
      <c r="G371" t="s">
        <v>1303</v>
      </c>
      <c r="H371" s="3">
        <v>40877</v>
      </c>
      <c r="I371" t="s">
        <v>1294</v>
      </c>
      <c r="J371" t="s">
        <v>1295</v>
      </c>
      <c r="K371" t="s">
        <v>1296</v>
      </c>
      <c r="L371">
        <v>13905132816</v>
      </c>
      <c r="N371" t="s">
        <v>481</v>
      </c>
      <c r="O371" s="2">
        <v>45229</v>
      </c>
      <c r="P371" s="2">
        <v>45961</v>
      </c>
      <c r="Q371" t="s">
        <v>65</v>
      </c>
      <c r="R371" t="s">
        <v>86</v>
      </c>
      <c r="S371" t="s">
        <v>87</v>
      </c>
      <c r="T371" t="s">
        <v>1304</v>
      </c>
      <c r="U371" t="s">
        <v>67</v>
      </c>
      <c r="V371" t="s">
        <v>57</v>
      </c>
      <c r="X371" t="s">
        <v>1296</v>
      </c>
      <c r="Y371">
        <v>13815650707</v>
      </c>
      <c r="Z371" t="s">
        <v>1290</v>
      </c>
      <c r="AA371" t="s">
        <v>159</v>
      </c>
      <c r="AB371" t="s">
        <v>65</v>
      </c>
      <c r="AC371">
        <v>930</v>
      </c>
      <c r="AD371" t="s">
        <v>69</v>
      </c>
      <c r="AE371">
        <v>10</v>
      </c>
      <c r="AF371">
        <v>196</v>
      </c>
      <c r="AK371">
        <v>50</v>
      </c>
      <c r="AP371" t="s">
        <v>93</v>
      </c>
      <c r="AS371" t="s">
        <v>1299</v>
      </c>
      <c r="AT371" t="s">
        <v>1300</v>
      </c>
      <c r="AU371" s="4">
        <v>45950</v>
      </c>
      <c r="AV371" t="s">
        <v>1305</v>
      </c>
      <c r="AW371">
        <v>10</v>
      </c>
      <c r="AZ371">
        <v>222000</v>
      </c>
    </row>
    <row r="372" spans="1:57" x14ac:dyDescent="0.3">
      <c r="A372" s="7">
        <v>387</v>
      </c>
      <c r="B372" t="s">
        <v>1279</v>
      </c>
      <c r="C372" t="s">
        <v>1280</v>
      </c>
      <c r="D372" t="s">
        <v>1306</v>
      </c>
      <c r="E372" t="s">
        <v>214</v>
      </c>
      <c r="F372" t="s">
        <v>1307</v>
      </c>
      <c r="G372">
        <v>1030112</v>
      </c>
      <c r="I372" t="s">
        <v>216</v>
      </c>
      <c r="J372" t="s">
        <v>1295</v>
      </c>
      <c r="K372" t="s">
        <v>1296</v>
      </c>
      <c r="L372">
        <v>13815650707</v>
      </c>
      <c r="M372">
        <v>13815650707</v>
      </c>
      <c r="N372" t="s">
        <v>1308</v>
      </c>
      <c r="O372" s="2">
        <v>45750</v>
      </c>
      <c r="P372" s="2">
        <v>46115</v>
      </c>
      <c r="Q372" t="s">
        <v>65</v>
      </c>
      <c r="R372" t="s">
        <v>86</v>
      </c>
      <c r="S372" t="s">
        <v>155</v>
      </c>
      <c r="T372" t="s">
        <v>1309</v>
      </c>
      <c r="U372" t="s">
        <v>214</v>
      </c>
      <c r="V372" t="s">
        <v>57</v>
      </c>
      <c r="W372" t="s">
        <v>184</v>
      </c>
      <c r="X372" t="s">
        <v>1296</v>
      </c>
      <c r="Y372">
        <v>13815650707</v>
      </c>
      <c r="Z372" t="s">
        <v>1290</v>
      </c>
      <c r="AA372" t="s">
        <v>159</v>
      </c>
      <c r="AB372" t="s">
        <v>65</v>
      </c>
      <c r="AC372">
        <v>515</v>
      </c>
      <c r="AD372" t="s">
        <v>69</v>
      </c>
      <c r="AE372">
        <v>25</v>
      </c>
      <c r="AF372">
        <v>96.1</v>
      </c>
      <c r="AP372" t="s">
        <v>93</v>
      </c>
      <c r="AS372" t="s">
        <v>344</v>
      </c>
      <c r="AT372">
        <v>76</v>
      </c>
      <c r="AU372">
        <v>24</v>
      </c>
      <c r="AV372">
        <v>14</v>
      </c>
      <c r="AW372">
        <v>25</v>
      </c>
      <c r="AZ372">
        <v>222000</v>
      </c>
    </row>
    <row r="373" spans="1:57" x14ac:dyDescent="0.3">
      <c r="A373" s="7">
        <v>388</v>
      </c>
      <c r="B373" t="s">
        <v>1279</v>
      </c>
      <c r="C373" t="s">
        <v>1280</v>
      </c>
      <c r="D373" t="s">
        <v>1310</v>
      </c>
      <c r="E373" t="s">
        <v>214</v>
      </c>
      <c r="F373" t="s">
        <v>1307</v>
      </c>
      <c r="G373">
        <v>1030113</v>
      </c>
      <c r="I373" t="s">
        <v>216</v>
      </c>
      <c r="J373" t="s">
        <v>1295</v>
      </c>
      <c r="K373" t="s">
        <v>1296</v>
      </c>
      <c r="L373">
        <v>13815650707</v>
      </c>
      <c r="M373">
        <v>13815650707</v>
      </c>
      <c r="N373" t="s">
        <v>1311</v>
      </c>
      <c r="O373" s="2">
        <v>45750</v>
      </c>
      <c r="P373" s="2">
        <v>46115</v>
      </c>
      <c r="Q373" t="s">
        <v>65</v>
      </c>
      <c r="R373" t="s">
        <v>86</v>
      </c>
      <c r="S373" t="s">
        <v>155</v>
      </c>
      <c r="T373" t="s">
        <v>1312</v>
      </c>
      <c r="U373" t="s">
        <v>214</v>
      </c>
      <c r="V373" t="s">
        <v>57</v>
      </c>
      <c r="W373" t="s">
        <v>184</v>
      </c>
      <c r="X373" t="s">
        <v>1296</v>
      </c>
      <c r="Z373" t="s">
        <v>1290</v>
      </c>
      <c r="AA373" t="s">
        <v>159</v>
      </c>
      <c r="AB373" t="s">
        <v>65</v>
      </c>
      <c r="AC373">
        <v>515</v>
      </c>
      <c r="AD373" t="s">
        <v>69</v>
      </c>
      <c r="AE373">
        <v>25</v>
      </c>
      <c r="AF373">
        <v>96.1</v>
      </c>
      <c r="AK373">
        <v>76</v>
      </c>
      <c r="AP373" t="s">
        <v>93</v>
      </c>
      <c r="AS373" t="s">
        <v>344</v>
      </c>
      <c r="AT373">
        <v>76</v>
      </c>
      <c r="AU373">
        <v>24</v>
      </c>
      <c r="AV373">
        <v>14</v>
      </c>
      <c r="AW373">
        <v>25</v>
      </c>
      <c r="AZ373">
        <v>222000</v>
      </c>
    </row>
    <row r="374" spans="1:57" x14ac:dyDescent="0.3">
      <c r="A374" s="7">
        <v>389</v>
      </c>
      <c r="B374" t="s">
        <v>1279</v>
      </c>
      <c r="C374" t="s">
        <v>1280</v>
      </c>
      <c r="D374" t="s">
        <v>1313</v>
      </c>
      <c r="E374" t="s">
        <v>557</v>
      </c>
      <c r="F374" t="s">
        <v>1314</v>
      </c>
      <c r="G374" t="s">
        <v>1315</v>
      </c>
      <c r="H374" s="3">
        <v>42969</v>
      </c>
      <c r="I374" t="s">
        <v>216</v>
      </c>
      <c r="J374" t="s">
        <v>1316</v>
      </c>
      <c r="K374" t="s">
        <v>1021</v>
      </c>
      <c r="L374">
        <v>13905132816</v>
      </c>
      <c r="M374">
        <v>13905132816</v>
      </c>
      <c r="N374" t="s">
        <v>1317</v>
      </c>
      <c r="O374" s="2">
        <v>45852</v>
      </c>
      <c r="P374" s="2">
        <v>46217</v>
      </c>
      <c r="Q374" t="s">
        <v>65</v>
      </c>
      <c r="R374" t="s">
        <v>86</v>
      </c>
      <c r="S374" t="s">
        <v>155</v>
      </c>
      <c r="T374" t="s">
        <v>1318</v>
      </c>
      <c r="U374" t="s">
        <v>557</v>
      </c>
      <c r="V374" t="s">
        <v>57</v>
      </c>
      <c r="W374" t="s">
        <v>322</v>
      </c>
      <c r="X374" t="s">
        <v>1296</v>
      </c>
      <c r="Y374">
        <v>13815650707</v>
      </c>
      <c r="Z374" t="s">
        <v>1319</v>
      </c>
      <c r="AA374" t="s">
        <v>159</v>
      </c>
      <c r="AB374" t="s">
        <v>65</v>
      </c>
      <c r="AC374">
        <v>815</v>
      </c>
      <c r="AD374" t="s">
        <v>69</v>
      </c>
      <c r="AE374">
        <v>45</v>
      </c>
      <c r="AF374">
        <v>126.32</v>
      </c>
      <c r="AK374" t="s">
        <v>732</v>
      </c>
      <c r="AP374" t="s">
        <v>163</v>
      </c>
      <c r="AS374" t="s">
        <v>731</v>
      </c>
      <c r="AT374" t="s">
        <v>732</v>
      </c>
      <c r="AU374">
        <v>15.1</v>
      </c>
      <c r="AW374">
        <v>45</v>
      </c>
      <c r="AZ374">
        <v>222000</v>
      </c>
    </row>
    <row r="375" spans="1:57" x14ac:dyDescent="0.3">
      <c r="A375" s="7">
        <v>390</v>
      </c>
      <c r="B375" t="s">
        <v>1279</v>
      </c>
      <c r="C375" t="s">
        <v>1280</v>
      </c>
      <c r="D375" t="s">
        <v>1320</v>
      </c>
      <c r="E375" t="s">
        <v>62</v>
      </c>
      <c r="F375" t="s">
        <v>1293</v>
      </c>
      <c r="G375" t="s">
        <v>1321</v>
      </c>
      <c r="H375" s="3">
        <v>40877</v>
      </c>
      <c r="I375" t="s">
        <v>1294</v>
      </c>
      <c r="J375" t="s">
        <v>1295</v>
      </c>
      <c r="K375" t="s">
        <v>1296</v>
      </c>
      <c r="L375">
        <v>13905132816</v>
      </c>
      <c r="N375" t="s">
        <v>440</v>
      </c>
      <c r="O375" s="2">
        <v>45229</v>
      </c>
      <c r="P375" s="2">
        <v>45960</v>
      </c>
      <c r="Q375" t="s">
        <v>65</v>
      </c>
      <c r="R375" t="s">
        <v>86</v>
      </c>
      <c r="S375" t="s">
        <v>87</v>
      </c>
      <c r="T375" t="s">
        <v>1322</v>
      </c>
      <c r="U375" t="s">
        <v>67</v>
      </c>
      <c r="V375" t="s">
        <v>57</v>
      </c>
      <c r="X375" t="s">
        <v>1296</v>
      </c>
      <c r="Y375">
        <v>13815650707</v>
      </c>
      <c r="Z375" t="s">
        <v>1290</v>
      </c>
      <c r="AA375" t="s">
        <v>159</v>
      </c>
      <c r="AB375" t="s">
        <v>65</v>
      </c>
      <c r="AC375">
        <v>930</v>
      </c>
      <c r="AD375" t="s">
        <v>69</v>
      </c>
      <c r="AE375">
        <v>20</v>
      </c>
      <c r="AF375">
        <v>392</v>
      </c>
      <c r="AK375">
        <v>50</v>
      </c>
      <c r="AP375" t="s">
        <v>93</v>
      </c>
      <c r="AS375" t="s">
        <v>1299</v>
      </c>
      <c r="AT375" t="s">
        <v>1300</v>
      </c>
      <c r="AU375" s="4">
        <v>46011</v>
      </c>
      <c r="AV375" t="s">
        <v>1323</v>
      </c>
      <c r="AW375">
        <v>20</v>
      </c>
      <c r="AZ375">
        <v>222000</v>
      </c>
    </row>
    <row r="376" spans="1:57" x14ac:dyDescent="0.3">
      <c r="A376" s="7">
        <v>391</v>
      </c>
      <c r="B376" t="s">
        <v>1279</v>
      </c>
      <c r="C376" t="s">
        <v>1280</v>
      </c>
      <c r="D376" t="s">
        <v>1324</v>
      </c>
      <c r="E376" t="s">
        <v>124</v>
      </c>
      <c r="F376" t="s">
        <v>1325</v>
      </c>
      <c r="G376">
        <v>20120076</v>
      </c>
      <c r="H376" s="3">
        <v>41011</v>
      </c>
      <c r="I376" t="s">
        <v>1326</v>
      </c>
      <c r="J376" t="s">
        <v>1295</v>
      </c>
      <c r="K376" t="s">
        <v>1296</v>
      </c>
      <c r="L376">
        <v>13815650707</v>
      </c>
      <c r="N376" t="s">
        <v>450</v>
      </c>
      <c r="O376" s="2">
        <v>45384</v>
      </c>
      <c r="P376" s="2">
        <v>46113</v>
      </c>
      <c r="Q376" t="s">
        <v>65</v>
      </c>
      <c r="R376" t="s">
        <v>86</v>
      </c>
      <c r="S376" t="s">
        <v>87</v>
      </c>
      <c r="T376" t="s">
        <v>1327</v>
      </c>
      <c r="V376" t="s">
        <v>57</v>
      </c>
      <c r="W376" t="s">
        <v>243</v>
      </c>
      <c r="X376" t="s">
        <v>1296</v>
      </c>
      <c r="Y376">
        <v>13815650707</v>
      </c>
      <c r="Z376" t="s">
        <v>1290</v>
      </c>
      <c r="AA376" t="s">
        <v>159</v>
      </c>
      <c r="AB376" t="s">
        <v>65</v>
      </c>
      <c r="AC376">
        <v>600</v>
      </c>
      <c r="AD376" t="s">
        <v>69</v>
      </c>
      <c r="AE376">
        <v>10</v>
      </c>
      <c r="AH376">
        <v>13.5</v>
      </c>
      <c r="AK376">
        <v>8</v>
      </c>
      <c r="AP376" t="s">
        <v>93</v>
      </c>
      <c r="AQ376" t="s">
        <v>94</v>
      </c>
      <c r="AS376" t="s">
        <v>1131</v>
      </c>
      <c r="AT376">
        <v>7</v>
      </c>
      <c r="AU376">
        <v>6</v>
      </c>
      <c r="AV376">
        <v>15.5</v>
      </c>
      <c r="AW376">
        <v>10</v>
      </c>
      <c r="AZ376">
        <v>222000</v>
      </c>
      <c r="BB376" t="s">
        <v>248</v>
      </c>
    </row>
    <row r="377" spans="1:57" x14ac:dyDescent="0.3">
      <c r="A377" s="7">
        <v>392</v>
      </c>
      <c r="B377" t="s">
        <v>1279</v>
      </c>
      <c r="C377" t="s">
        <v>1280</v>
      </c>
      <c r="D377" t="s">
        <v>1328</v>
      </c>
      <c r="E377" t="s">
        <v>235</v>
      </c>
      <c r="F377" t="s">
        <v>1329</v>
      </c>
      <c r="G377" t="s">
        <v>1330</v>
      </c>
      <c r="H377" s="3">
        <v>42675</v>
      </c>
      <c r="I377" t="s">
        <v>1331</v>
      </c>
      <c r="J377" t="s">
        <v>1316</v>
      </c>
      <c r="K377" t="s">
        <v>1296</v>
      </c>
      <c r="L377">
        <v>13815650707</v>
      </c>
      <c r="N377" t="s">
        <v>1332</v>
      </c>
      <c r="O377" s="2">
        <v>45639</v>
      </c>
      <c r="P377" s="2">
        <v>46369</v>
      </c>
      <c r="Q377" t="s">
        <v>65</v>
      </c>
      <c r="R377" t="s">
        <v>86</v>
      </c>
      <c r="S377" t="s">
        <v>155</v>
      </c>
      <c r="T377" t="s">
        <v>1333</v>
      </c>
      <c r="U377" t="s">
        <v>235</v>
      </c>
      <c r="V377" t="s">
        <v>57</v>
      </c>
      <c r="W377" t="s">
        <v>322</v>
      </c>
      <c r="X377" t="s">
        <v>1296</v>
      </c>
      <c r="Y377" t="s">
        <v>1334</v>
      </c>
      <c r="Z377" t="s">
        <v>1319</v>
      </c>
      <c r="AA377" t="s">
        <v>159</v>
      </c>
      <c r="AB377" t="s">
        <v>65</v>
      </c>
      <c r="AC377">
        <v>600</v>
      </c>
      <c r="AD377" t="s">
        <v>69</v>
      </c>
      <c r="AE377">
        <v>10</v>
      </c>
      <c r="AF377">
        <v>45</v>
      </c>
      <c r="AH377">
        <v>25.5</v>
      </c>
      <c r="AK377" t="s">
        <v>1335</v>
      </c>
      <c r="AN377">
        <v>13</v>
      </c>
      <c r="AP377" t="s">
        <v>163</v>
      </c>
      <c r="AQ377" t="s">
        <v>94</v>
      </c>
      <c r="AS377" t="s">
        <v>1336</v>
      </c>
      <c r="AT377" t="s">
        <v>956</v>
      </c>
      <c r="AU377">
        <v>8.5</v>
      </c>
      <c r="AV377">
        <v>13</v>
      </c>
      <c r="AW377">
        <v>10</v>
      </c>
      <c r="AZ377">
        <v>222000</v>
      </c>
      <c r="BB377" t="s">
        <v>473</v>
      </c>
      <c r="BD377" t="s">
        <v>474</v>
      </c>
      <c r="BE377" t="s">
        <v>475</v>
      </c>
    </row>
    <row r="378" spans="1:57" x14ac:dyDescent="0.3">
      <c r="A378" s="7">
        <v>393</v>
      </c>
      <c r="B378" t="s">
        <v>1279</v>
      </c>
      <c r="C378" t="s">
        <v>1280</v>
      </c>
      <c r="D378" t="s">
        <v>1337</v>
      </c>
      <c r="E378" t="s">
        <v>124</v>
      </c>
      <c r="F378" t="s">
        <v>1338</v>
      </c>
      <c r="G378">
        <v>20120077</v>
      </c>
      <c r="H378" s="3">
        <v>41011</v>
      </c>
      <c r="I378" t="s">
        <v>175</v>
      </c>
      <c r="J378" t="s">
        <v>1295</v>
      </c>
      <c r="K378" t="s">
        <v>1296</v>
      </c>
      <c r="L378">
        <v>13815650707</v>
      </c>
      <c r="N378" t="s">
        <v>481</v>
      </c>
      <c r="O378" s="2">
        <v>45384</v>
      </c>
      <c r="P378" s="2">
        <v>46113</v>
      </c>
      <c r="Q378" t="s">
        <v>65</v>
      </c>
      <c r="R378" t="s">
        <v>86</v>
      </c>
      <c r="S378" t="s">
        <v>87</v>
      </c>
      <c r="T378" t="s">
        <v>1339</v>
      </c>
      <c r="V378" t="s">
        <v>57</v>
      </c>
      <c r="W378" t="s">
        <v>243</v>
      </c>
      <c r="X378" t="s">
        <v>1296</v>
      </c>
      <c r="Y378">
        <v>13815650707</v>
      </c>
      <c r="Z378" t="s">
        <v>1290</v>
      </c>
      <c r="AA378" t="s">
        <v>159</v>
      </c>
      <c r="AB378" t="s">
        <v>65</v>
      </c>
      <c r="AC378">
        <v>600</v>
      </c>
      <c r="AD378" t="s">
        <v>69</v>
      </c>
      <c r="AE378">
        <v>10</v>
      </c>
      <c r="AH378">
        <v>13.5</v>
      </c>
      <c r="AK378">
        <v>8</v>
      </c>
      <c r="AP378" t="s">
        <v>93</v>
      </c>
      <c r="AQ378" t="s">
        <v>94</v>
      </c>
      <c r="AS378" t="s">
        <v>1131</v>
      </c>
      <c r="AT378">
        <v>7</v>
      </c>
      <c r="AU378">
        <v>6</v>
      </c>
      <c r="AV378">
        <v>15.5</v>
      </c>
      <c r="AW378">
        <v>10</v>
      </c>
      <c r="AZ378">
        <v>222000</v>
      </c>
      <c r="BB378" t="s">
        <v>248</v>
      </c>
    </row>
    <row r="379" spans="1:57" x14ac:dyDescent="0.3">
      <c r="A379" s="7">
        <v>394</v>
      </c>
      <c r="B379" t="s">
        <v>1279</v>
      </c>
      <c r="C379" t="s">
        <v>1280</v>
      </c>
      <c r="D379" t="s">
        <v>1340</v>
      </c>
      <c r="E379" t="s">
        <v>62</v>
      </c>
      <c r="F379" t="s">
        <v>1302</v>
      </c>
      <c r="G379">
        <v>20110017</v>
      </c>
      <c r="H379" s="3">
        <v>40877</v>
      </c>
      <c r="I379" t="s">
        <v>1294</v>
      </c>
      <c r="J379" t="s">
        <v>1295</v>
      </c>
      <c r="K379" t="s">
        <v>1296</v>
      </c>
      <c r="L379">
        <v>13815650707</v>
      </c>
      <c r="N379" t="s">
        <v>1341</v>
      </c>
      <c r="O379" s="2">
        <v>45384</v>
      </c>
      <c r="P379" s="2">
        <v>46113</v>
      </c>
      <c r="Q379" t="s">
        <v>65</v>
      </c>
      <c r="R379" t="s">
        <v>86</v>
      </c>
      <c r="S379" t="s">
        <v>87</v>
      </c>
      <c r="T379" t="s">
        <v>1342</v>
      </c>
      <c r="U379" t="s">
        <v>67</v>
      </c>
      <c r="V379" t="s">
        <v>57</v>
      </c>
      <c r="X379" t="s">
        <v>1296</v>
      </c>
      <c r="Y379">
        <v>13815650707</v>
      </c>
      <c r="Z379" t="s">
        <v>1290</v>
      </c>
      <c r="AA379" t="s">
        <v>159</v>
      </c>
      <c r="AB379" t="s">
        <v>65</v>
      </c>
      <c r="AC379">
        <v>750</v>
      </c>
      <c r="AD379" t="s">
        <v>69</v>
      </c>
      <c r="AE379">
        <v>10</v>
      </c>
      <c r="AF379">
        <v>196</v>
      </c>
      <c r="AK379">
        <v>50</v>
      </c>
      <c r="AP379" t="s">
        <v>93</v>
      </c>
      <c r="AS379" t="s">
        <v>1299</v>
      </c>
      <c r="AT379" t="s">
        <v>1300</v>
      </c>
      <c r="AU379">
        <f>-6-10/-6-20</f>
        <v>-24.333333333333332</v>
      </c>
      <c r="AV379">
        <v>24</v>
      </c>
      <c r="AW379">
        <v>10</v>
      </c>
      <c r="AZ379">
        <v>222000</v>
      </c>
    </row>
    <row r="380" spans="1:57" x14ac:dyDescent="0.3">
      <c r="A380" s="7">
        <v>395</v>
      </c>
      <c r="B380" t="s">
        <v>1279</v>
      </c>
      <c r="C380" t="s">
        <v>1280</v>
      </c>
      <c r="D380" t="s">
        <v>1343</v>
      </c>
      <c r="E380" t="s">
        <v>214</v>
      </c>
      <c r="F380" t="s">
        <v>1307</v>
      </c>
      <c r="G380">
        <v>1030116</v>
      </c>
      <c r="H380" s="3">
        <v>42248</v>
      </c>
      <c r="I380" t="s">
        <v>216</v>
      </c>
      <c r="J380" t="s">
        <v>1344</v>
      </c>
      <c r="K380" t="s">
        <v>1021</v>
      </c>
      <c r="L380">
        <v>13815650707</v>
      </c>
      <c r="M380">
        <v>13815650707</v>
      </c>
      <c r="N380" t="s">
        <v>1345</v>
      </c>
      <c r="O380" s="2">
        <v>45852</v>
      </c>
      <c r="P380" s="2">
        <v>46217</v>
      </c>
      <c r="Q380" t="s">
        <v>65</v>
      </c>
      <c r="R380" t="s">
        <v>86</v>
      </c>
      <c r="S380" t="s">
        <v>155</v>
      </c>
      <c r="T380" t="s">
        <v>1346</v>
      </c>
      <c r="V380" t="s">
        <v>57</v>
      </c>
      <c r="W380" t="s">
        <v>184</v>
      </c>
      <c r="X380" t="s">
        <v>1296</v>
      </c>
      <c r="Y380">
        <v>13815650707</v>
      </c>
      <c r="Z380" t="s">
        <v>1319</v>
      </c>
      <c r="AA380" t="s">
        <v>159</v>
      </c>
      <c r="AB380" t="s">
        <v>65</v>
      </c>
      <c r="AC380">
        <v>515</v>
      </c>
      <c r="AD380" t="s">
        <v>69</v>
      </c>
      <c r="AE380">
        <v>25</v>
      </c>
      <c r="AF380">
        <v>99.96</v>
      </c>
      <c r="AK380">
        <v>1.75</v>
      </c>
      <c r="AN380">
        <v>18</v>
      </c>
      <c r="AP380" t="s">
        <v>163</v>
      </c>
      <c r="AS380" t="s">
        <v>344</v>
      </c>
      <c r="AT380">
        <v>1.75</v>
      </c>
      <c r="AU380">
        <v>18</v>
      </c>
      <c r="AV380">
        <v>18</v>
      </c>
      <c r="AW380">
        <v>25</v>
      </c>
      <c r="AZ380">
        <v>222000</v>
      </c>
    </row>
    <row r="381" spans="1:57" x14ac:dyDescent="0.3">
      <c r="A381" s="7">
        <v>396</v>
      </c>
      <c r="B381" t="s">
        <v>1279</v>
      </c>
      <c r="C381" t="s">
        <v>1280</v>
      </c>
      <c r="D381" t="s">
        <v>1347</v>
      </c>
      <c r="E381" t="s">
        <v>214</v>
      </c>
      <c r="F381" t="s">
        <v>1307</v>
      </c>
      <c r="G381">
        <v>1030111</v>
      </c>
      <c r="H381" s="5">
        <v>41030</v>
      </c>
      <c r="I381" t="s">
        <v>216</v>
      </c>
      <c r="J381" t="s">
        <v>1295</v>
      </c>
      <c r="K381" t="s">
        <v>1021</v>
      </c>
      <c r="L381">
        <v>13815650707</v>
      </c>
      <c r="M381">
        <v>13815650707</v>
      </c>
      <c r="N381" t="s">
        <v>1348</v>
      </c>
      <c r="O381" s="2">
        <v>45750</v>
      </c>
      <c r="P381" s="2">
        <v>46115</v>
      </c>
      <c r="Q381" t="s">
        <v>65</v>
      </c>
      <c r="R381" t="s">
        <v>86</v>
      </c>
      <c r="S381" t="s">
        <v>155</v>
      </c>
      <c r="T381" t="s">
        <v>1349</v>
      </c>
      <c r="U381" t="s">
        <v>214</v>
      </c>
      <c r="V381" t="s">
        <v>57</v>
      </c>
      <c r="W381" t="s">
        <v>184</v>
      </c>
      <c r="X381" t="s">
        <v>1296</v>
      </c>
      <c r="Z381" t="s">
        <v>1290</v>
      </c>
      <c r="AA381" t="s">
        <v>159</v>
      </c>
      <c r="AB381" t="s">
        <v>65</v>
      </c>
      <c r="AC381">
        <v>515</v>
      </c>
      <c r="AD381" t="s">
        <v>69</v>
      </c>
      <c r="AE381">
        <v>25</v>
      </c>
      <c r="AF381">
        <v>96.1</v>
      </c>
      <c r="AK381">
        <v>72</v>
      </c>
      <c r="AP381" t="s">
        <v>163</v>
      </c>
      <c r="AS381" t="s">
        <v>344</v>
      </c>
      <c r="AT381">
        <v>72</v>
      </c>
      <c r="AU381">
        <v>24</v>
      </c>
      <c r="AV381">
        <v>14</v>
      </c>
      <c r="AZ381">
        <v>222000</v>
      </c>
    </row>
    <row r="382" spans="1:57" x14ac:dyDescent="0.3">
      <c r="A382" s="7">
        <v>397</v>
      </c>
      <c r="B382" t="s">
        <v>1279</v>
      </c>
      <c r="C382" t="s">
        <v>1280</v>
      </c>
      <c r="D382" t="s">
        <v>1350</v>
      </c>
      <c r="E382" t="s">
        <v>214</v>
      </c>
      <c r="F382" t="s">
        <v>1307</v>
      </c>
      <c r="G382">
        <v>1030117</v>
      </c>
      <c r="H382" s="3">
        <v>42248</v>
      </c>
      <c r="I382" t="s">
        <v>216</v>
      </c>
      <c r="J382" t="s">
        <v>1344</v>
      </c>
      <c r="K382" t="s">
        <v>1021</v>
      </c>
      <c r="L382">
        <v>13815650707</v>
      </c>
      <c r="M382">
        <v>13815650707</v>
      </c>
      <c r="N382" t="s">
        <v>1351</v>
      </c>
      <c r="O382" s="2">
        <v>45852</v>
      </c>
      <c r="P382" s="2">
        <v>46217</v>
      </c>
      <c r="Q382" t="s">
        <v>65</v>
      </c>
      <c r="R382" t="s">
        <v>86</v>
      </c>
      <c r="S382" t="s">
        <v>155</v>
      </c>
      <c r="T382" t="s">
        <v>1352</v>
      </c>
      <c r="V382" t="s">
        <v>57</v>
      </c>
      <c r="W382" t="s">
        <v>184</v>
      </c>
      <c r="X382" t="s">
        <v>1296</v>
      </c>
      <c r="Y382">
        <v>13815650707</v>
      </c>
      <c r="Z382" t="s">
        <v>1319</v>
      </c>
      <c r="AA382" t="s">
        <v>159</v>
      </c>
      <c r="AB382" t="s">
        <v>65</v>
      </c>
      <c r="AC382">
        <v>515</v>
      </c>
      <c r="AD382" t="s">
        <v>69</v>
      </c>
      <c r="AE382">
        <v>25</v>
      </c>
      <c r="AF382">
        <v>99.96</v>
      </c>
      <c r="AK382">
        <v>1.75</v>
      </c>
      <c r="AN382">
        <v>18</v>
      </c>
      <c r="AP382" t="s">
        <v>163</v>
      </c>
      <c r="AS382" t="s">
        <v>344</v>
      </c>
      <c r="AT382">
        <v>1.75</v>
      </c>
      <c r="AU382">
        <v>18</v>
      </c>
      <c r="AV382">
        <v>18</v>
      </c>
      <c r="AW382">
        <v>25</v>
      </c>
      <c r="AZ382">
        <v>222000</v>
      </c>
    </row>
    <row r="383" spans="1:57" x14ac:dyDescent="0.3">
      <c r="A383" s="7">
        <v>398</v>
      </c>
      <c r="B383" t="s">
        <v>1279</v>
      </c>
      <c r="C383" t="s">
        <v>1280</v>
      </c>
      <c r="D383" t="s">
        <v>1353</v>
      </c>
      <c r="E383" t="s">
        <v>235</v>
      </c>
      <c r="F383" t="s">
        <v>1329</v>
      </c>
      <c r="G383" t="s">
        <v>1354</v>
      </c>
      <c r="H383" s="3">
        <v>42675</v>
      </c>
      <c r="I383" t="s">
        <v>1355</v>
      </c>
      <c r="J383" t="s">
        <v>1316</v>
      </c>
      <c r="K383" t="s">
        <v>1296</v>
      </c>
      <c r="L383">
        <v>13815650707</v>
      </c>
      <c r="N383" t="s">
        <v>1356</v>
      </c>
      <c r="O383" s="2">
        <v>45639</v>
      </c>
      <c r="P383" s="2">
        <v>46369</v>
      </c>
      <c r="Q383" t="s">
        <v>65</v>
      </c>
      <c r="R383" t="s">
        <v>86</v>
      </c>
      <c r="S383" t="s">
        <v>155</v>
      </c>
      <c r="T383" t="s">
        <v>1357</v>
      </c>
      <c r="U383" t="s">
        <v>235</v>
      </c>
      <c r="V383" t="s">
        <v>57</v>
      </c>
      <c r="W383" t="s">
        <v>322</v>
      </c>
      <c r="X383" t="s">
        <v>1296</v>
      </c>
      <c r="Y383" t="s">
        <v>1334</v>
      </c>
      <c r="Z383" t="s">
        <v>1319</v>
      </c>
      <c r="AA383" t="s">
        <v>159</v>
      </c>
      <c r="AB383" t="s">
        <v>65</v>
      </c>
      <c r="AC383">
        <v>600</v>
      </c>
      <c r="AD383" t="s">
        <v>69</v>
      </c>
      <c r="AE383">
        <v>10</v>
      </c>
      <c r="AF383">
        <v>45</v>
      </c>
      <c r="AH383">
        <v>25.5</v>
      </c>
      <c r="AK383" t="s">
        <v>1335</v>
      </c>
      <c r="AN383">
        <v>13</v>
      </c>
      <c r="AP383" t="s">
        <v>163</v>
      </c>
      <c r="AQ383" t="s">
        <v>94</v>
      </c>
      <c r="AS383" t="s">
        <v>1336</v>
      </c>
      <c r="AT383" t="s">
        <v>956</v>
      </c>
      <c r="AU383">
        <v>8.5</v>
      </c>
      <c r="AV383">
        <v>13</v>
      </c>
      <c r="AW383">
        <v>10</v>
      </c>
      <c r="AZ383">
        <v>222000</v>
      </c>
      <c r="BB383" t="s">
        <v>473</v>
      </c>
      <c r="BD383" t="s">
        <v>474</v>
      </c>
      <c r="BE383" t="s">
        <v>475</v>
      </c>
    </row>
    <row r="384" spans="1:57" x14ac:dyDescent="0.3">
      <c r="A384" s="7">
        <v>399</v>
      </c>
      <c r="B384" t="s">
        <v>1279</v>
      </c>
      <c r="C384" t="s">
        <v>1280</v>
      </c>
      <c r="D384" t="s">
        <v>1358</v>
      </c>
      <c r="E384" t="s">
        <v>235</v>
      </c>
      <c r="F384" t="s">
        <v>1329</v>
      </c>
      <c r="G384" t="s">
        <v>1359</v>
      </c>
      <c r="H384" s="3">
        <v>42675</v>
      </c>
      <c r="I384" t="s">
        <v>1355</v>
      </c>
      <c r="J384" t="s">
        <v>1316</v>
      </c>
      <c r="K384" t="s">
        <v>1296</v>
      </c>
      <c r="L384">
        <v>13815650707</v>
      </c>
      <c r="N384" t="s">
        <v>1360</v>
      </c>
      <c r="O384" s="2">
        <v>45639</v>
      </c>
      <c r="P384" s="2">
        <v>46369</v>
      </c>
      <c r="Q384" t="s">
        <v>65</v>
      </c>
      <c r="R384" t="s">
        <v>86</v>
      </c>
      <c r="S384" t="s">
        <v>155</v>
      </c>
      <c r="T384" t="s">
        <v>1361</v>
      </c>
      <c r="U384" t="s">
        <v>235</v>
      </c>
      <c r="V384" t="s">
        <v>57</v>
      </c>
      <c r="W384" t="s">
        <v>322</v>
      </c>
      <c r="X384" t="s">
        <v>1296</v>
      </c>
      <c r="Y384" t="s">
        <v>1334</v>
      </c>
      <c r="Z384" t="s">
        <v>1319</v>
      </c>
      <c r="AA384" t="s">
        <v>159</v>
      </c>
      <c r="AB384" t="s">
        <v>65</v>
      </c>
      <c r="AC384">
        <v>600</v>
      </c>
      <c r="AD384" t="s">
        <v>69</v>
      </c>
      <c r="AE384">
        <v>10</v>
      </c>
      <c r="AF384">
        <v>45</v>
      </c>
      <c r="AH384">
        <v>25.5</v>
      </c>
      <c r="AK384" t="s">
        <v>1335</v>
      </c>
      <c r="AN384">
        <v>13</v>
      </c>
      <c r="AP384" t="s">
        <v>163</v>
      </c>
      <c r="AQ384" t="s">
        <v>94</v>
      </c>
      <c r="AS384" t="s">
        <v>1336</v>
      </c>
      <c r="AT384" t="s">
        <v>956</v>
      </c>
      <c r="AU384">
        <v>8.5</v>
      </c>
      <c r="AV384">
        <v>13</v>
      </c>
      <c r="AW384">
        <v>10</v>
      </c>
      <c r="AZ384">
        <v>222000</v>
      </c>
      <c r="BB384" t="s">
        <v>473</v>
      </c>
      <c r="BD384" t="s">
        <v>474</v>
      </c>
      <c r="BE384" t="s">
        <v>475</v>
      </c>
    </row>
    <row r="385" spans="1:57" x14ac:dyDescent="0.3">
      <c r="A385" s="7">
        <v>400</v>
      </c>
      <c r="B385" t="s">
        <v>1279</v>
      </c>
      <c r="C385" t="s">
        <v>1280</v>
      </c>
      <c r="D385" t="s">
        <v>1362</v>
      </c>
      <c r="E385" t="s">
        <v>235</v>
      </c>
      <c r="F385" t="s">
        <v>1329</v>
      </c>
      <c r="G385" t="s">
        <v>1363</v>
      </c>
      <c r="H385" s="3">
        <v>42675</v>
      </c>
      <c r="I385" t="s">
        <v>1331</v>
      </c>
      <c r="J385" t="s">
        <v>1316</v>
      </c>
      <c r="K385" t="s">
        <v>1296</v>
      </c>
      <c r="L385">
        <v>13815650707</v>
      </c>
      <c r="N385" t="s">
        <v>1364</v>
      </c>
      <c r="O385" s="2">
        <v>45639</v>
      </c>
      <c r="P385" s="2">
        <v>46369</v>
      </c>
      <c r="Q385" t="s">
        <v>65</v>
      </c>
      <c r="R385" t="s">
        <v>86</v>
      </c>
      <c r="S385" t="s">
        <v>155</v>
      </c>
      <c r="T385" t="s">
        <v>1365</v>
      </c>
      <c r="U385" t="s">
        <v>235</v>
      </c>
      <c r="V385" t="s">
        <v>57</v>
      </c>
      <c r="W385" t="s">
        <v>723</v>
      </c>
      <c r="X385" t="s">
        <v>1296</v>
      </c>
      <c r="Y385" t="s">
        <v>1334</v>
      </c>
      <c r="Z385" t="s">
        <v>1319</v>
      </c>
      <c r="AA385" t="s">
        <v>159</v>
      </c>
      <c r="AB385" t="s">
        <v>65</v>
      </c>
      <c r="AC385">
        <v>600</v>
      </c>
      <c r="AD385" t="s">
        <v>69</v>
      </c>
      <c r="AE385">
        <v>10</v>
      </c>
      <c r="AF385">
        <v>45</v>
      </c>
      <c r="AH385">
        <v>25.5</v>
      </c>
      <c r="AK385" t="s">
        <v>1335</v>
      </c>
      <c r="AN385">
        <v>13</v>
      </c>
      <c r="AP385" t="s">
        <v>163</v>
      </c>
      <c r="AQ385" t="s">
        <v>94</v>
      </c>
      <c r="AS385" t="s">
        <v>1336</v>
      </c>
      <c r="AT385" t="s">
        <v>956</v>
      </c>
      <c r="AU385">
        <v>8.5</v>
      </c>
      <c r="AV385">
        <v>13</v>
      </c>
      <c r="AW385">
        <v>10</v>
      </c>
      <c r="AZ385">
        <v>222000</v>
      </c>
      <c r="BB385" t="s">
        <v>473</v>
      </c>
      <c r="BD385" t="s">
        <v>474</v>
      </c>
      <c r="BE385" t="s">
        <v>475</v>
      </c>
    </row>
    <row r="386" spans="1:57" x14ac:dyDescent="0.3">
      <c r="A386" s="7">
        <v>401</v>
      </c>
      <c r="B386" t="s">
        <v>1279</v>
      </c>
      <c r="C386" t="s">
        <v>1280</v>
      </c>
      <c r="D386" t="s">
        <v>1366</v>
      </c>
      <c r="E386" t="s">
        <v>1119</v>
      </c>
      <c r="F386" t="s">
        <v>1367</v>
      </c>
      <c r="G386">
        <v>170801</v>
      </c>
      <c r="H386" t="s">
        <v>83</v>
      </c>
      <c r="I386" t="s">
        <v>269</v>
      </c>
      <c r="J386" t="s">
        <v>1344</v>
      </c>
      <c r="K386" t="s">
        <v>1296</v>
      </c>
      <c r="L386">
        <v>13905132816</v>
      </c>
      <c r="N386" t="s">
        <v>1368</v>
      </c>
      <c r="O386" s="2">
        <v>45258</v>
      </c>
      <c r="P386" s="2">
        <v>45988</v>
      </c>
      <c r="Q386" t="s">
        <v>65</v>
      </c>
      <c r="R386" t="s">
        <v>86</v>
      </c>
      <c r="S386" t="s">
        <v>87</v>
      </c>
      <c r="T386" t="s">
        <v>1369</v>
      </c>
      <c r="U386" t="s">
        <v>1119</v>
      </c>
      <c r="V386" t="s">
        <v>57</v>
      </c>
      <c r="W386" t="s">
        <v>322</v>
      </c>
      <c r="X386" t="s">
        <v>1296</v>
      </c>
      <c r="Y386">
        <v>13815650707</v>
      </c>
      <c r="Z386" t="s">
        <v>1290</v>
      </c>
      <c r="AA386" t="s">
        <v>159</v>
      </c>
      <c r="AB386" t="s">
        <v>65</v>
      </c>
      <c r="AC386">
        <v>780</v>
      </c>
      <c r="AD386" t="s">
        <v>69</v>
      </c>
      <c r="AE386">
        <v>12</v>
      </c>
      <c r="AF386">
        <v>192</v>
      </c>
      <c r="AK386">
        <v>40</v>
      </c>
      <c r="AP386" t="s">
        <v>163</v>
      </c>
      <c r="AS386" t="s">
        <v>1370</v>
      </c>
      <c r="AT386">
        <v>40</v>
      </c>
      <c r="AU386">
        <v>10</v>
      </c>
      <c r="AV386">
        <v>28</v>
      </c>
      <c r="AW386">
        <v>12</v>
      </c>
      <c r="AZ386">
        <v>222000</v>
      </c>
    </row>
    <row r="387" spans="1:57" x14ac:dyDescent="0.3">
      <c r="A387" s="7">
        <v>402</v>
      </c>
      <c r="B387" t="s">
        <v>1279</v>
      </c>
      <c r="C387" t="s">
        <v>1280</v>
      </c>
      <c r="D387" t="s">
        <v>1371</v>
      </c>
      <c r="E387" t="s">
        <v>1119</v>
      </c>
      <c r="F387" t="s">
        <v>1367</v>
      </c>
      <c r="G387">
        <v>170804</v>
      </c>
      <c r="H387" t="s">
        <v>83</v>
      </c>
      <c r="I387" t="s">
        <v>269</v>
      </c>
      <c r="J387" t="s">
        <v>1344</v>
      </c>
      <c r="K387" t="s">
        <v>1296</v>
      </c>
      <c r="L387">
        <v>13905132816</v>
      </c>
      <c r="M387">
        <v>13905132816</v>
      </c>
      <c r="N387" t="s">
        <v>1372</v>
      </c>
      <c r="O387" s="2">
        <v>45244</v>
      </c>
      <c r="P387" s="2">
        <v>45975</v>
      </c>
      <c r="Q387" t="s">
        <v>65</v>
      </c>
      <c r="R387" t="s">
        <v>86</v>
      </c>
      <c r="S387" t="s">
        <v>87</v>
      </c>
      <c r="T387" t="s">
        <v>1373</v>
      </c>
      <c r="U387" t="s">
        <v>1119</v>
      </c>
      <c r="V387" t="s">
        <v>57</v>
      </c>
      <c r="W387" t="s">
        <v>322</v>
      </c>
      <c r="X387" t="s">
        <v>1296</v>
      </c>
      <c r="Y387">
        <v>13815650707</v>
      </c>
      <c r="Z387" t="s">
        <v>1290</v>
      </c>
      <c r="AA387" t="s">
        <v>159</v>
      </c>
      <c r="AB387" t="s">
        <v>65</v>
      </c>
      <c r="AC387">
        <v>600</v>
      </c>
      <c r="AD387" t="s">
        <v>69</v>
      </c>
      <c r="AE387">
        <v>12</v>
      </c>
      <c r="AF387">
        <v>192</v>
      </c>
      <c r="AK387">
        <v>40</v>
      </c>
      <c r="AP387" t="s">
        <v>163</v>
      </c>
      <c r="AS387" t="s">
        <v>1370</v>
      </c>
      <c r="AT387">
        <v>40</v>
      </c>
      <c r="AU387">
        <v>10</v>
      </c>
      <c r="AV387">
        <v>28</v>
      </c>
      <c r="AW387">
        <v>12</v>
      </c>
      <c r="AZ387">
        <v>222000</v>
      </c>
    </row>
    <row r="388" spans="1:57" x14ac:dyDescent="0.3">
      <c r="A388" s="7">
        <v>403</v>
      </c>
      <c r="B388" t="s">
        <v>1279</v>
      </c>
      <c r="C388" t="s">
        <v>1280</v>
      </c>
      <c r="D388" t="s">
        <v>1374</v>
      </c>
      <c r="E388" t="s">
        <v>531</v>
      </c>
      <c r="F388" t="s">
        <v>1282</v>
      </c>
      <c r="G388" t="s">
        <v>1375</v>
      </c>
      <c r="H388" s="3">
        <v>42896</v>
      </c>
      <c r="I388" t="s">
        <v>1376</v>
      </c>
      <c r="J388" t="s">
        <v>1344</v>
      </c>
      <c r="K388" t="s">
        <v>1377</v>
      </c>
      <c r="L388">
        <v>13815650707</v>
      </c>
      <c r="N388" t="s">
        <v>1378</v>
      </c>
      <c r="O388" s="2">
        <v>45852</v>
      </c>
      <c r="P388" s="2">
        <v>46582</v>
      </c>
      <c r="Q388" t="s">
        <v>65</v>
      </c>
      <c r="R388" t="s">
        <v>86</v>
      </c>
      <c r="S388" t="s">
        <v>155</v>
      </c>
      <c r="T388" t="s">
        <v>1379</v>
      </c>
      <c r="U388" t="s">
        <v>531</v>
      </c>
      <c r="V388" t="s">
        <v>57</v>
      </c>
      <c r="W388" t="s">
        <v>322</v>
      </c>
      <c r="X388" t="s">
        <v>1296</v>
      </c>
      <c r="Y388">
        <v>13675231170</v>
      </c>
      <c r="AA388" t="s">
        <v>159</v>
      </c>
      <c r="AB388" t="s">
        <v>65</v>
      </c>
      <c r="AC388">
        <v>650</v>
      </c>
      <c r="AD388" t="s">
        <v>69</v>
      </c>
      <c r="AE388">
        <v>41</v>
      </c>
      <c r="AF388">
        <v>381</v>
      </c>
      <c r="AH388">
        <v>10.5</v>
      </c>
      <c r="AK388">
        <v>30</v>
      </c>
      <c r="AP388" t="s">
        <v>163</v>
      </c>
      <c r="AQ388" t="s">
        <v>117</v>
      </c>
      <c r="AS388" t="s">
        <v>1291</v>
      </c>
      <c r="AT388" t="s">
        <v>990</v>
      </c>
      <c r="AU388">
        <v>11</v>
      </c>
      <c r="AV388">
        <v>28</v>
      </c>
      <c r="AW388">
        <v>41</v>
      </c>
      <c r="AZ388">
        <v>222000</v>
      </c>
      <c r="BB388" t="s">
        <v>473</v>
      </c>
      <c r="BD388" t="s">
        <v>474</v>
      </c>
      <c r="BE388" t="s">
        <v>475</v>
      </c>
    </row>
    <row r="389" spans="1:57" x14ac:dyDescent="0.3">
      <c r="A389" s="7">
        <v>404</v>
      </c>
      <c r="B389" t="s">
        <v>1279</v>
      </c>
      <c r="C389" t="s">
        <v>1280</v>
      </c>
      <c r="D389" t="s">
        <v>1380</v>
      </c>
      <c r="E389" t="s">
        <v>1119</v>
      </c>
      <c r="F389" t="s">
        <v>1367</v>
      </c>
      <c r="G389">
        <v>170803</v>
      </c>
      <c r="H389" t="s">
        <v>83</v>
      </c>
      <c r="I389" t="s">
        <v>269</v>
      </c>
      <c r="J389" t="s">
        <v>1344</v>
      </c>
      <c r="K389" t="s">
        <v>1296</v>
      </c>
      <c r="L389">
        <v>13905132816</v>
      </c>
      <c r="N389" t="s">
        <v>1381</v>
      </c>
      <c r="O389" s="2">
        <v>45244</v>
      </c>
      <c r="P389" s="2">
        <v>45975</v>
      </c>
      <c r="Q389" t="s">
        <v>65</v>
      </c>
      <c r="R389" t="s">
        <v>86</v>
      </c>
      <c r="S389" t="s">
        <v>87</v>
      </c>
      <c r="T389" t="s">
        <v>1382</v>
      </c>
      <c r="U389" t="s">
        <v>1119</v>
      </c>
      <c r="V389" t="s">
        <v>57</v>
      </c>
      <c r="W389" t="s">
        <v>322</v>
      </c>
      <c r="X389" t="s">
        <v>1296</v>
      </c>
      <c r="Y389">
        <v>13815650707</v>
      </c>
      <c r="Z389" t="s">
        <v>1290</v>
      </c>
      <c r="AA389" t="s">
        <v>159</v>
      </c>
      <c r="AB389" t="s">
        <v>65</v>
      </c>
      <c r="AC389">
        <v>600</v>
      </c>
      <c r="AD389" t="s">
        <v>69</v>
      </c>
      <c r="AE389">
        <v>12</v>
      </c>
      <c r="AF389">
        <v>192</v>
      </c>
      <c r="AK389">
        <v>40</v>
      </c>
      <c r="AP389" t="s">
        <v>163</v>
      </c>
      <c r="AS389" t="s">
        <v>1370</v>
      </c>
      <c r="AT389">
        <v>40</v>
      </c>
      <c r="AU389">
        <v>10</v>
      </c>
      <c r="AV389">
        <v>28</v>
      </c>
      <c r="AW389">
        <v>12</v>
      </c>
      <c r="AZ389">
        <v>222000</v>
      </c>
    </row>
    <row r="390" spans="1:57" x14ac:dyDescent="0.3">
      <c r="A390" s="7">
        <v>405</v>
      </c>
      <c r="B390" t="s">
        <v>1279</v>
      </c>
      <c r="C390" t="s">
        <v>1280</v>
      </c>
      <c r="D390" t="s">
        <v>1383</v>
      </c>
      <c r="E390" t="s">
        <v>1119</v>
      </c>
      <c r="F390" t="s">
        <v>1367</v>
      </c>
      <c r="G390">
        <v>170802</v>
      </c>
      <c r="H390" s="5">
        <v>43070</v>
      </c>
      <c r="I390" t="s">
        <v>269</v>
      </c>
      <c r="J390" t="s">
        <v>1344</v>
      </c>
      <c r="K390" t="s">
        <v>1296</v>
      </c>
      <c r="L390">
        <v>13905132816</v>
      </c>
      <c r="M390">
        <v>13905132816</v>
      </c>
      <c r="N390" t="s">
        <v>1384</v>
      </c>
      <c r="O390" s="2">
        <v>45244</v>
      </c>
      <c r="P390" s="2">
        <v>45975</v>
      </c>
      <c r="Q390" t="s">
        <v>65</v>
      </c>
      <c r="R390" t="s">
        <v>86</v>
      </c>
      <c r="S390" t="s">
        <v>87</v>
      </c>
      <c r="T390" t="s">
        <v>1385</v>
      </c>
      <c r="U390" t="s">
        <v>1119</v>
      </c>
      <c r="V390" t="s">
        <v>57</v>
      </c>
      <c r="W390" t="s">
        <v>322</v>
      </c>
      <c r="X390" t="s">
        <v>1296</v>
      </c>
      <c r="Y390">
        <v>13815650707</v>
      </c>
      <c r="Z390" t="s">
        <v>1290</v>
      </c>
      <c r="AA390" t="s">
        <v>159</v>
      </c>
      <c r="AB390" t="s">
        <v>65</v>
      </c>
      <c r="AC390">
        <v>780</v>
      </c>
      <c r="AD390" t="s">
        <v>69</v>
      </c>
      <c r="AE390">
        <v>12</v>
      </c>
      <c r="AF390">
        <v>192</v>
      </c>
      <c r="AK390">
        <v>40</v>
      </c>
      <c r="AP390" t="s">
        <v>163</v>
      </c>
      <c r="AS390" t="s">
        <v>1370</v>
      </c>
      <c r="AT390">
        <v>40</v>
      </c>
      <c r="AU390">
        <v>10</v>
      </c>
      <c r="AV390">
        <v>28</v>
      </c>
      <c r="AW390">
        <v>12</v>
      </c>
      <c r="AZ390">
        <v>222000</v>
      </c>
    </row>
    <row r="391" spans="1:57" x14ac:dyDescent="0.3">
      <c r="A391" s="7">
        <v>406</v>
      </c>
      <c r="B391" s="8" t="s">
        <v>345</v>
      </c>
      <c r="C391" s="8" t="s">
        <v>346</v>
      </c>
      <c r="D391" s="8" t="s">
        <v>347</v>
      </c>
      <c r="E391" s="8" t="s">
        <v>62</v>
      </c>
      <c r="F391" s="8" t="s">
        <v>348</v>
      </c>
      <c r="G391" s="8" t="s">
        <v>349</v>
      </c>
      <c r="H391" s="8" t="s">
        <v>350</v>
      </c>
      <c r="I391" s="8" t="s">
        <v>351</v>
      </c>
      <c r="J391" s="8" t="s">
        <v>352</v>
      </c>
      <c r="K391" s="8" t="s">
        <v>353</v>
      </c>
      <c r="L391" s="8" t="s">
        <v>354</v>
      </c>
      <c r="M391" s="8" t="s">
        <v>56</v>
      </c>
      <c r="N391" s="8" t="s">
        <v>355</v>
      </c>
      <c r="O391" s="8" t="s">
        <v>356</v>
      </c>
      <c r="P391" s="8" t="s">
        <v>357</v>
      </c>
      <c r="Q391" s="8" t="s">
        <v>65</v>
      </c>
      <c r="R391" s="8" t="s">
        <v>86</v>
      </c>
      <c r="S391" s="8" t="s">
        <v>155</v>
      </c>
      <c r="T391" s="8" t="s">
        <v>358</v>
      </c>
      <c r="U391" s="8" t="s">
        <v>67</v>
      </c>
      <c r="V391" s="8" t="s">
        <v>57</v>
      </c>
      <c r="W391" s="8" t="s">
        <v>56</v>
      </c>
      <c r="X391" s="8" t="s">
        <v>359</v>
      </c>
      <c r="Y391" s="8" t="s">
        <v>360</v>
      </c>
      <c r="Z391" s="8" t="s">
        <v>89</v>
      </c>
      <c r="AA391" s="8" t="s">
        <v>159</v>
      </c>
      <c r="AB391" s="8" t="s">
        <v>65</v>
      </c>
      <c r="AC391" s="8" t="s">
        <v>361</v>
      </c>
      <c r="AD391" s="8" t="s">
        <v>69</v>
      </c>
      <c r="AE391" s="8" t="s">
        <v>362</v>
      </c>
      <c r="AF391" s="8" t="s">
        <v>363</v>
      </c>
      <c r="AG391" s="8" t="s">
        <v>56</v>
      </c>
      <c r="AH391" s="8" t="s">
        <v>56</v>
      </c>
      <c r="AI391" s="8" t="s">
        <v>56</v>
      </c>
      <c r="AJ391" s="8" t="s">
        <v>56</v>
      </c>
      <c r="AK391" s="8" t="s">
        <v>56</v>
      </c>
      <c r="AL391" s="8" t="s">
        <v>56</v>
      </c>
      <c r="AM391" s="8" t="s">
        <v>56</v>
      </c>
      <c r="AN391" s="8" t="s">
        <v>56</v>
      </c>
      <c r="AO391" s="8" t="s">
        <v>56</v>
      </c>
      <c r="AP391" s="8" t="s">
        <v>163</v>
      </c>
      <c r="AQ391" s="8" t="s">
        <v>56</v>
      </c>
      <c r="AR391" s="8" t="s">
        <v>56</v>
      </c>
      <c r="AS391" s="8" t="s">
        <v>70</v>
      </c>
      <c r="AT391" s="8" t="s">
        <v>364</v>
      </c>
      <c r="AU391" s="8" t="s">
        <v>365</v>
      </c>
      <c r="AV391" s="8" t="s">
        <v>366</v>
      </c>
      <c r="AW391" s="8" t="s">
        <v>367</v>
      </c>
      <c r="AX391" s="8" t="s">
        <v>56</v>
      </c>
      <c r="AY391" s="8" t="s">
        <v>56</v>
      </c>
      <c r="AZ391" s="8" t="s">
        <v>100</v>
      </c>
      <c r="BA391" s="8" t="s">
        <v>56</v>
      </c>
      <c r="BB391" s="8" t="s">
        <v>56</v>
      </c>
      <c r="BC391" s="8" t="s">
        <v>56</v>
      </c>
      <c r="BD391" s="8" t="s">
        <v>56</v>
      </c>
      <c r="BE391" s="8" t="s">
        <v>56</v>
      </c>
    </row>
    <row r="392" spans="1:57" x14ac:dyDescent="0.3">
      <c r="A392" s="7">
        <v>407</v>
      </c>
      <c r="B392" s="8" t="s">
        <v>345</v>
      </c>
      <c r="C392" s="8" t="s">
        <v>346</v>
      </c>
      <c r="D392" s="8" t="s">
        <v>368</v>
      </c>
      <c r="E392" s="8" t="s">
        <v>124</v>
      </c>
      <c r="F392" s="8" t="s">
        <v>369</v>
      </c>
      <c r="G392" s="8" t="s">
        <v>370</v>
      </c>
      <c r="H392" s="8" t="s">
        <v>371</v>
      </c>
      <c r="I392" s="8" t="s">
        <v>372</v>
      </c>
      <c r="J392" s="8" t="s">
        <v>373</v>
      </c>
      <c r="K392" s="8" t="s">
        <v>359</v>
      </c>
      <c r="L392" s="8" t="s">
        <v>374</v>
      </c>
      <c r="M392" s="8" t="s">
        <v>56</v>
      </c>
      <c r="N392" s="8" t="s">
        <v>83</v>
      </c>
      <c r="O392" s="8" t="s">
        <v>206</v>
      </c>
      <c r="P392" s="8" t="s">
        <v>207</v>
      </c>
      <c r="Q392" s="8" t="s">
        <v>65</v>
      </c>
      <c r="R392" s="8" t="s">
        <v>86</v>
      </c>
      <c r="S392" s="8" t="s">
        <v>155</v>
      </c>
      <c r="T392" s="8" t="s">
        <v>375</v>
      </c>
      <c r="U392" s="8" t="s">
        <v>124</v>
      </c>
      <c r="V392" s="8" t="s">
        <v>57</v>
      </c>
      <c r="W392" s="8" t="s">
        <v>243</v>
      </c>
      <c r="X392" s="8" t="s">
        <v>359</v>
      </c>
      <c r="Y392" s="8" t="s">
        <v>360</v>
      </c>
      <c r="Z392" s="8" t="s">
        <v>89</v>
      </c>
      <c r="AA392" s="8" t="s">
        <v>159</v>
      </c>
      <c r="AB392" s="8" t="s">
        <v>65</v>
      </c>
      <c r="AC392" s="8" t="s">
        <v>376</v>
      </c>
      <c r="AD392" s="8" t="s">
        <v>69</v>
      </c>
      <c r="AE392" s="8" t="s">
        <v>377</v>
      </c>
      <c r="AF392" s="8" t="s">
        <v>378</v>
      </c>
      <c r="AG392" s="8" t="s">
        <v>56</v>
      </c>
      <c r="AH392" s="8" t="s">
        <v>379</v>
      </c>
      <c r="AI392" s="8" t="s">
        <v>56</v>
      </c>
      <c r="AJ392" s="8" t="s">
        <v>56</v>
      </c>
      <c r="AK392" s="8" t="s">
        <v>380</v>
      </c>
      <c r="AL392" s="8" t="s">
        <v>56</v>
      </c>
      <c r="AM392" s="8" t="s">
        <v>56</v>
      </c>
      <c r="AN392" s="8" t="s">
        <v>56</v>
      </c>
      <c r="AO392" s="8" t="s">
        <v>56</v>
      </c>
      <c r="AP392" s="8" t="s">
        <v>163</v>
      </c>
      <c r="AQ392" s="8" t="s">
        <v>94</v>
      </c>
      <c r="AR392" s="8" t="s">
        <v>56</v>
      </c>
      <c r="AS392" s="8" t="s">
        <v>381</v>
      </c>
      <c r="AT392" s="8" t="s">
        <v>382</v>
      </c>
      <c r="AU392" s="8" t="s">
        <v>383</v>
      </c>
      <c r="AV392" s="8" t="s">
        <v>165</v>
      </c>
      <c r="AW392" s="8" t="s">
        <v>97</v>
      </c>
      <c r="AX392" s="8" t="s">
        <v>56</v>
      </c>
      <c r="AY392" s="8" t="s">
        <v>56</v>
      </c>
      <c r="AZ392" s="8" t="s">
        <v>384</v>
      </c>
      <c r="BA392" s="8" t="s">
        <v>56</v>
      </c>
      <c r="BB392" s="8" t="s">
        <v>248</v>
      </c>
      <c r="BC392" s="8" t="s">
        <v>56</v>
      </c>
      <c r="BD392" s="8" t="s">
        <v>385</v>
      </c>
      <c r="BE392" s="8" t="s">
        <v>386</v>
      </c>
    </row>
    <row r="393" spans="1:57" x14ac:dyDescent="0.3">
      <c r="A393" s="7">
        <v>408</v>
      </c>
      <c r="B393" s="8" t="s">
        <v>345</v>
      </c>
      <c r="C393" s="8" t="s">
        <v>346</v>
      </c>
      <c r="D393" s="8" t="s">
        <v>387</v>
      </c>
      <c r="E393" s="8" t="s">
        <v>62</v>
      </c>
      <c r="F393" s="8" t="s">
        <v>348</v>
      </c>
      <c r="G393" s="8" t="s">
        <v>388</v>
      </c>
      <c r="H393" s="8" t="s">
        <v>389</v>
      </c>
      <c r="I393" s="8" t="s">
        <v>390</v>
      </c>
      <c r="J393" s="8" t="s">
        <v>391</v>
      </c>
      <c r="K393" s="8" t="s">
        <v>359</v>
      </c>
      <c r="L393" s="8" t="s">
        <v>374</v>
      </c>
      <c r="M393" s="8" t="s">
        <v>56</v>
      </c>
      <c r="N393" s="8" t="s">
        <v>392</v>
      </c>
      <c r="O393" s="8" t="s">
        <v>393</v>
      </c>
      <c r="P393" s="8" t="s">
        <v>394</v>
      </c>
      <c r="Q393" s="8" t="s">
        <v>65</v>
      </c>
      <c r="R393" s="8" t="s">
        <v>86</v>
      </c>
      <c r="S393" s="8" t="s">
        <v>87</v>
      </c>
      <c r="T393" s="8" t="s">
        <v>395</v>
      </c>
      <c r="U393" s="8" t="s">
        <v>67</v>
      </c>
      <c r="V393" s="8" t="s">
        <v>57</v>
      </c>
      <c r="W393" s="8" t="s">
        <v>56</v>
      </c>
      <c r="X393" s="8" t="s">
        <v>359</v>
      </c>
      <c r="Y393" s="8" t="s">
        <v>360</v>
      </c>
      <c r="Z393" s="8" t="s">
        <v>89</v>
      </c>
      <c r="AA393" s="8" t="s">
        <v>159</v>
      </c>
      <c r="AB393" s="8" t="s">
        <v>65</v>
      </c>
      <c r="AC393" s="8" t="s">
        <v>396</v>
      </c>
      <c r="AD393" s="8" t="s">
        <v>69</v>
      </c>
      <c r="AE393" s="8" t="s">
        <v>362</v>
      </c>
      <c r="AF393" s="8" t="s">
        <v>397</v>
      </c>
      <c r="AG393" s="8" t="s">
        <v>56</v>
      </c>
      <c r="AH393" s="8" t="s">
        <v>56</v>
      </c>
      <c r="AI393" s="8" t="s">
        <v>56</v>
      </c>
      <c r="AJ393" s="8" t="s">
        <v>56</v>
      </c>
      <c r="AK393" s="8" t="s">
        <v>398</v>
      </c>
      <c r="AL393" s="8" t="s">
        <v>56</v>
      </c>
      <c r="AM393" s="8" t="s">
        <v>56</v>
      </c>
      <c r="AN393" s="8" t="s">
        <v>56</v>
      </c>
      <c r="AO393" s="8" t="s">
        <v>56</v>
      </c>
      <c r="AP393" s="8" t="s">
        <v>163</v>
      </c>
      <c r="AQ393" s="8" t="s">
        <v>56</v>
      </c>
      <c r="AR393" s="8" t="s">
        <v>56</v>
      </c>
      <c r="AS393" s="8" t="s">
        <v>70</v>
      </c>
      <c r="AT393" s="8" t="s">
        <v>398</v>
      </c>
      <c r="AU393" s="8" t="s">
        <v>399</v>
      </c>
      <c r="AV393" s="8" t="s">
        <v>400</v>
      </c>
      <c r="AW393" s="8" t="s">
        <v>367</v>
      </c>
      <c r="AX393" s="8" t="s">
        <v>56</v>
      </c>
      <c r="AY393" s="8" t="s">
        <v>56</v>
      </c>
      <c r="AZ393" s="8" t="s">
        <v>384</v>
      </c>
      <c r="BA393" s="8" t="s">
        <v>56</v>
      </c>
      <c r="BB393" s="8" t="s">
        <v>56</v>
      </c>
      <c r="BC393" s="8" t="s">
        <v>56</v>
      </c>
      <c r="BD393" s="8" t="s">
        <v>56</v>
      </c>
      <c r="BE393" s="8" t="s">
        <v>56</v>
      </c>
    </row>
    <row r="394" spans="1:57" x14ac:dyDescent="0.3">
      <c r="A394" s="7">
        <v>409</v>
      </c>
      <c r="B394" s="8" t="s">
        <v>345</v>
      </c>
      <c r="C394" s="8" t="s">
        <v>346</v>
      </c>
      <c r="D394" s="8" t="s">
        <v>405</v>
      </c>
      <c r="E394" s="8" t="s">
        <v>62</v>
      </c>
      <c r="F394" s="8" t="s">
        <v>63</v>
      </c>
      <c r="G394" s="8" t="s">
        <v>406</v>
      </c>
      <c r="H394" s="8" t="s">
        <v>83</v>
      </c>
      <c r="I394" s="8" t="s">
        <v>269</v>
      </c>
      <c r="J394" s="8" t="s">
        <v>407</v>
      </c>
      <c r="K394" s="8" t="s">
        <v>359</v>
      </c>
      <c r="L394" s="8" t="s">
        <v>374</v>
      </c>
      <c r="M394" s="8" t="s">
        <v>56</v>
      </c>
      <c r="N394" s="8" t="s">
        <v>83</v>
      </c>
      <c r="O394" s="8" t="s">
        <v>408</v>
      </c>
      <c r="P394" s="8" t="s">
        <v>409</v>
      </c>
      <c r="Q394" s="8" t="s">
        <v>65</v>
      </c>
      <c r="R394" s="8" t="s">
        <v>86</v>
      </c>
      <c r="S394" s="8" t="s">
        <v>87</v>
      </c>
      <c r="T394" s="8" t="s">
        <v>410</v>
      </c>
      <c r="U394" s="8" t="s">
        <v>67</v>
      </c>
      <c r="V394" s="8" t="s">
        <v>57</v>
      </c>
      <c r="W394" s="8" t="s">
        <v>184</v>
      </c>
      <c r="X394" s="8" t="s">
        <v>359</v>
      </c>
      <c r="Y394" s="8" t="s">
        <v>360</v>
      </c>
      <c r="Z394" s="8" t="s">
        <v>56</v>
      </c>
      <c r="AA394" s="8" t="s">
        <v>159</v>
      </c>
      <c r="AB394" s="8" t="s">
        <v>65</v>
      </c>
      <c r="AC394" s="8" t="s">
        <v>361</v>
      </c>
      <c r="AD394" s="8" t="s">
        <v>69</v>
      </c>
      <c r="AE394" s="8" t="s">
        <v>362</v>
      </c>
      <c r="AF394" s="8" t="s">
        <v>411</v>
      </c>
      <c r="AG394" s="8" t="s">
        <v>56</v>
      </c>
      <c r="AH394" s="8" t="s">
        <v>56</v>
      </c>
      <c r="AI394" s="8" t="s">
        <v>56</v>
      </c>
      <c r="AJ394" s="8" t="s">
        <v>56</v>
      </c>
      <c r="AK394" s="8" t="s">
        <v>56</v>
      </c>
      <c r="AL394" s="8" t="s">
        <v>56</v>
      </c>
      <c r="AM394" s="8" t="s">
        <v>56</v>
      </c>
      <c r="AN394" s="8" t="s">
        <v>56</v>
      </c>
      <c r="AO394" s="8" t="s">
        <v>56</v>
      </c>
      <c r="AP394" s="8" t="s">
        <v>93</v>
      </c>
      <c r="AQ394" s="8" t="s">
        <v>56</v>
      </c>
      <c r="AR394" s="8" t="s">
        <v>56</v>
      </c>
      <c r="AS394" s="8" t="s">
        <v>70</v>
      </c>
      <c r="AT394" s="8" t="s">
        <v>162</v>
      </c>
      <c r="AU394" s="8" t="s">
        <v>412</v>
      </c>
      <c r="AV394" s="8" t="s">
        <v>201</v>
      </c>
      <c r="AW394" s="8" t="s">
        <v>367</v>
      </c>
      <c r="AX394" s="8" t="s">
        <v>56</v>
      </c>
      <c r="AY394" s="8" t="s">
        <v>56</v>
      </c>
      <c r="AZ394" s="8" t="s">
        <v>384</v>
      </c>
      <c r="BA394" s="8" t="s">
        <v>56</v>
      </c>
      <c r="BB394" s="8" t="s">
        <v>56</v>
      </c>
      <c r="BC394" s="8" t="s">
        <v>56</v>
      </c>
      <c r="BD394" s="8" t="s">
        <v>56</v>
      </c>
      <c r="BE394" s="8" t="s">
        <v>56</v>
      </c>
    </row>
    <row r="395" spans="1:57" x14ac:dyDescent="0.3">
      <c r="A395" s="7">
        <v>410</v>
      </c>
      <c r="B395" s="8" t="s">
        <v>345</v>
      </c>
      <c r="C395" s="8" t="s">
        <v>346</v>
      </c>
      <c r="D395" s="8" t="s">
        <v>413</v>
      </c>
      <c r="E395" s="8" t="s">
        <v>75</v>
      </c>
      <c r="F395" s="8" t="s">
        <v>414</v>
      </c>
      <c r="G395" s="8" t="s">
        <v>415</v>
      </c>
      <c r="H395" s="8" t="s">
        <v>83</v>
      </c>
      <c r="I395" s="8" t="s">
        <v>416</v>
      </c>
      <c r="J395" s="8" t="s">
        <v>407</v>
      </c>
      <c r="K395" s="8" t="s">
        <v>359</v>
      </c>
      <c r="L395" s="8" t="s">
        <v>374</v>
      </c>
      <c r="M395" s="8" t="s">
        <v>56</v>
      </c>
      <c r="N395" s="8" t="s">
        <v>225</v>
      </c>
      <c r="O395" s="8" t="s">
        <v>417</v>
      </c>
      <c r="P395" s="8" t="s">
        <v>418</v>
      </c>
      <c r="Q395" s="8" t="s">
        <v>65</v>
      </c>
      <c r="R395" s="8" t="s">
        <v>86</v>
      </c>
      <c r="S395" s="8" t="s">
        <v>87</v>
      </c>
      <c r="T395" s="8" t="s">
        <v>419</v>
      </c>
      <c r="U395" s="8" t="s">
        <v>75</v>
      </c>
      <c r="V395" s="8" t="s">
        <v>57</v>
      </c>
      <c r="W395" s="8" t="s">
        <v>184</v>
      </c>
      <c r="X395" s="8" t="s">
        <v>359</v>
      </c>
      <c r="Y395" s="8" t="s">
        <v>360</v>
      </c>
      <c r="Z395" s="8" t="s">
        <v>56</v>
      </c>
      <c r="AA395" s="8" t="s">
        <v>159</v>
      </c>
      <c r="AB395" s="8" t="s">
        <v>65</v>
      </c>
      <c r="AC395" s="8" t="s">
        <v>420</v>
      </c>
      <c r="AD395" s="8" t="s">
        <v>69</v>
      </c>
      <c r="AE395" s="8" t="s">
        <v>421</v>
      </c>
      <c r="AF395" s="8" t="s">
        <v>56</v>
      </c>
      <c r="AG395" s="8" t="s">
        <v>56</v>
      </c>
      <c r="AH395" s="8" t="s">
        <v>422</v>
      </c>
      <c r="AI395" s="8" t="s">
        <v>56</v>
      </c>
      <c r="AJ395" s="8" t="s">
        <v>56</v>
      </c>
      <c r="AK395" s="8" t="s">
        <v>56</v>
      </c>
      <c r="AL395" s="8" t="s">
        <v>56</v>
      </c>
      <c r="AM395" s="8" t="s">
        <v>56</v>
      </c>
      <c r="AN395" s="8" t="s">
        <v>56</v>
      </c>
      <c r="AO395" s="8" t="s">
        <v>56</v>
      </c>
      <c r="AP395" s="8" t="s">
        <v>93</v>
      </c>
      <c r="AQ395" s="8" t="s">
        <v>94</v>
      </c>
      <c r="AR395" s="8" t="s">
        <v>56</v>
      </c>
      <c r="AS395" s="8" t="s">
        <v>423</v>
      </c>
      <c r="AT395" s="8" t="s">
        <v>380</v>
      </c>
      <c r="AU395" s="8" t="s">
        <v>424</v>
      </c>
      <c r="AV395" s="8" t="s">
        <v>425</v>
      </c>
      <c r="AW395" s="8" t="s">
        <v>426</v>
      </c>
      <c r="AX395" s="8" t="s">
        <v>56</v>
      </c>
      <c r="AY395" s="8" t="s">
        <v>56</v>
      </c>
      <c r="AZ395" s="8" t="s">
        <v>384</v>
      </c>
      <c r="BA395" s="8" t="s">
        <v>56</v>
      </c>
      <c r="BB395" s="8" t="s">
        <v>248</v>
      </c>
      <c r="BC395" s="8" t="s">
        <v>56</v>
      </c>
      <c r="BD395" s="8" t="s">
        <v>56</v>
      </c>
      <c r="BE395" s="8" t="s">
        <v>56</v>
      </c>
    </row>
    <row r="396" spans="1:57" x14ac:dyDescent="0.3">
      <c r="A396" s="7">
        <v>411</v>
      </c>
      <c r="B396" s="8" t="s">
        <v>345</v>
      </c>
      <c r="C396" s="8" t="s">
        <v>346</v>
      </c>
      <c r="D396" s="8" t="s">
        <v>427</v>
      </c>
      <c r="E396" s="8" t="s">
        <v>62</v>
      </c>
      <c r="F396" s="8" t="s">
        <v>63</v>
      </c>
      <c r="G396" s="8" t="s">
        <v>428</v>
      </c>
      <c r="H396" s="8" t="s">
        <v>83</v>
      </c>
      <c r="I396" s="8" t="s">
        <v>269</v>
      </c>
      <c r="J396" s="8" t="s">
        <v>407</v>
      </c>
      <c r="K396" s="8" t="s">
        <v>359</v>
      </c>
      <c r="L396" s="8" t="s">
        <v>374</v>
      </c>
      <c r="M396" s="8" t="s">
        <v>56</v>
      </c>
      <c r="N396" s="8" t="s">
        <v>83</v>
      </c>
      <c r="O396" s="8" t="s">
        <v>408</v>
      </c>
      <c r="P396" s="8" t="s">
        <v>409</v>
      </c>
      <c r="Q396" s="8" t="s">
        <v>65</v>
      </c>
      <c r="R396" s="8" t="s">
        <v>86</v>
      </c>
      <c r="S396" s="8" t="s">
        <v>87</v>
      </c>
      <c r="T396" s="8" t="s">
        <v>429</v>
      </c>
      <c r="U396" s="8" t="s">
        <v>67</v>
      </c>
      <c r="V396" s="8" t="s">
        <v>57</v>
      </c>
      <c r="W396" s="8" t="s">
        <v>184</v>
      </c>
      <c r="X396" s="8" t="s">
        <v>359</v>
      </c>
      <c r="Y396" s="8" t="s">
        <v>360</v>
      </c>
      <c r="Z396" s="8" t="s">
        <v>56</v>
      </c>
      <c r="AA396" s="8" t="s">
        <v>159</v>
      </c>
      <c r="AB396" s="8" t="s">
        <v>65</v>
      </c>
      <c r="AC396" s="8" t="s">
        <v>361</v>
      </c>
      <c r="AD396" s="8" t="s">
        <v>69</v>
      </c>
      <c r="AE396" s="8" t="s">
        <v>362</v>
      </c>
      <c r="AF396" s="8" t="s">
        <v>411</v>
      </c>
      <c r="AG396" s="8" t="s">
        <v>56</v>
      </c>
      <c r="AH396" s="8" t="s">
        <v>56</v>
      </c>
      <c r="AI396" s="8" t="s">
        <v>56</v>
      </c>
      <c r="AJ396" s="8" t="s">
        <v>56</v>
      </c>
      <c r="AK396" s="8" t="s">
        <v>56</v>
      </c>
      <c r="AL396" s="8" t="s">
        <v>56</v>
      </c>
      <c r="AM396" s="8" t="s">
        <v>56</v>
      </c>
      <c r="AN396" s="8" t="s">
        <v>56</v>
      </c>
      <c r="AO396" s="8" t="s">
        <v>56</v>
      </c>
      <c r="AP396" s="8" t="s">
        <v>93</v>
      </c>
      <c r="AQ396" s="8" t="s">
        <v>56</v>
      </c>
      <c r="AR396" s="8" t="s">
        <v>56</v>
      </c>
      <c r="AS396" s="8" t="s">
        <v>70</v>
      </c>
      <c r="AT396" s="8" t="s">
        <v>162</v>
      </c>
      <c r="AU396" s="8" t="s">
        <v>412</v>
      </c>
      <c r="AV396" s="8" t="s">
        <v>201</v>
      </c>
      <c r="AW396" s="8" t="s">
        <v>367</v>
      </c>
      <c r="AX396" s="8" t="s">
        <v>56</v>
      </c>
      <c r="AY396" s="8" t="s">
        <v>56</v>
      </c>
      <c r="AZ396" s="8" t="s">
        <v>384</v>
      </c>
      <c r="BA396" s="8" t="s">
        <v>56</v>
      </c>
      <c r="BB396" s="8" t="s">
        <v>56</v>
      </c>
      <c r="BC396" s="8" t="s">
        <v>56</v>
      </c>
      <c r="BD396" s="8" t="s">
        <v>56</v>
      </c>
      <c r="BE396" s="8" t="s">
        <v>56</v>
      </c>
    </row>
    <row r="397" spans="1:57" x14ac:dyDescent="0.3">
      <c r="A397" s="7">
        <v>412</v>
      </c>
      <c r="B397" s="8" t="s">
        <v>345</v>
      </c>
      <c r="C397" s="8" t="s">
        <v>346</v>
      </c>
      <c r="D397" s="8" t="s">
        <v>430</v>
      </c>
      <c r="E397" s="8" t="s">
        <v>124</v>
      </c>
      <c r="F397" s="8" t="s">
        <v>431</v>
      </c>
      <c r="G397" s="8" t="s">
        <v>432</v>
      </c>
      <c r="H397" s="8" t="s">
        <v>56</v>
      </c>
      <c r="I397" s="8" t="s">
        <v>433</v>
      </c>
      <c r="J397" s="8" t="s">
        <v>239</v>
      </c>
      <c r="K397" s="8" t="s">
        <v>83</v>
      </c>
      <c r="L397" s="8" t="s">
        <v>374</v>
      </c>
      <c r="M397" s="8" t="s">
        <v>56</v>
      </c>
      <c r="N397" s="8" t="s">
        <v>83</v>
      </c>
      <c r="O397" s="8" t="s">
        <v>408</v>
      </c>
      <c r="P397" s="8" t="s">
        <v>409</v>
      </c>
      <c r="Q397" s="8" t="s">
        <v>65</v>
      </c>
      <c r="R397" s="8" t="s">
        <v>86</v>
      </c>
      <c r="S397" s="8" t="s">
        <v>87</v>
      </c>
      <c r="T397" s="8" t="s">
        <v>434</v>
      </c>
      <c r="U397" s="8" t="s">
        <v>124</v>
      </c>
      <c r="V397" s="8" t="s">
        <v>57</v>
      </c>
      <c r="W397" s="8" t="s">
        <v>184</v>
      </c>
      <c r="X397" s="8" t="s">
        <v>359</v>
      </c>
      <c r="Y397" s="8" t="s">
        <v>56</v>
      </c>
      <c r="Z397" s="8" t="s">
        <v>56</v>
      </c>
      <c r="AA397" s="8" t="s">
        <v>159</v>
      </c>
      <c r="AB397" s="8" t="s">
        <v>65</v>
      </c>
      <c r="AC397" s="8" t="s">
        <v>376</v>
      </c>
      <c r="AD397" s="8" t="s">
        <v>69</v>
      </c>
      <c r="AE397" s="8" t="s">
        <v>377</v>
      </c>
      <c r="AF397" s="8" t="s">
        <v>56</v>
      </c>
      <c r="AG397" s="8" t="s">
        <v>56</v>
      </c>
      <c r="AH397" s="8" t="s">
        <v>435</v>
      </c>
      <c r="AI397" s="8" t="s">
        <v>56</v>
      </c>
      <c r="AJ397" s="8" t="s">
        <v>56</v>
      </c>
      <c r="AK397" s="8" t="s">
        <v>56</v>
      </c>
      <c r="AL397" s="8" t="s">
        <v>56</v>
      </c>
      <c r="AM397" s="8" t="s">
        <v>56</v>
      </c>
      <c r="AN397" s="8" t="s">
        <v>56</v>
      </c>
      <c r="AO397" s="8" t="s">
        <v>56</v>
      </c>
      <c r="AP397" s="8" t="s">
        <v>93</v>
      </c>
      <c r="AQ397" s="8" t="s">
        <v>94</v>
      </c>
      <c r="AR397" s="8" t="s">
        <v>56</v>
      </c>
      <c r="AS397" s="8" t="s">
        <v>436</v>
      </c>
      <c r="AT397" s="8" t="s">
        <v>380</v>
      </c>
      <c r="AU397" s="8" t="s">
        <v>437</v>
      </c>
      <c r="AV397" s="8" t="s">
        <v>165</v>
      </c>
      <c r="AW397" s="8" t="s">
        <v>97</v>
      </c>
      <c r="AX397" s="8" t="s">
        <v>56</v>
      </c>
      <c r="AY397" s="8" t="s">
        <v>56</v>
      </c>
      <c r="AZ397" s="8" t="s">
        <v>438</v>
      </c>
      <c r="BA397" s="8" t="s">
        <v>56</v>
      </c>
      <c r="BB397" s="8" t="s">
        <v>248</v>
      </c>
      <c r="BC397" s="8" t="s">
        <v>56</v>
      </c>
      <c r="BD397" s="8" t="s">
        <v>385</v>
      </c>
      <c r="BE397" s="8" t="s">
        <v>250</v>
      </c>
    </row>
    <row r="398" spans="1:57" x14ac:dyDescent="0.3">
      <c r="A398" s="7">
        <v>413</v>
      </c>
      <c r="B398" s="8" t="s">
        <v>345</v>
      </c>
      <c r="C398" s="8" t="s">
        <v>346</v>
      </c>
      <c r="D398" s="8" t="s">
        <v>441</v>
      </c>
      <c r="E398" s="8" t="s">
        <v>62</v>
      </c>
      <c r="F398" s="8" t="s">
        <v>442</v>
      </c>
      <c r="G398" s="8" t="s">
        <v>60</v>
      </c>
      <c r="H398" s="8" t="s">
        <v>56</v>
      </c>
      <c r="I398" s="8" t="s">
        <v>269</v>
      </c>
      <c r="J398" s="8" t="s">
        <v>407</v>
      </c>
      <c r="K398" s="8" t="s">
        <v>359</v>
      </c>
      <c r="L398" s="8" t="s">
        <v>374</v>
      </c>
      <c r="M398" s="8" t="s">
        <v>56</v>
      </c>
      <c r="N398" s="8" t="s">
        <v>225</v>
      </c>
      <c r="O398" s="8" t="s">
        <v>356</v>
      </c>
      <c r="P398" s="8" t="s">
        <v>357</v>
      </c>
      <c r="Q398" s="8" t="s">
        <v>65</v>
      </c>
      <c r="R398" s="8" t="s">
        <v>86</v>
      </c>
      <c r="S398" s="8" t="s">
        <v>155</v>
      </c>
      <c r="T398" s="8" t="s">
        <v>443</v>
      </c>
      <c r="U398" s="8" t="s">
        <v>67</v>
      </c>
      <c r="V398" s="8" t="s">
        <v>57</v>
      </c>
      <c r="W398" s="8" t="s">
        <v>184</v>
      </c>
      <c r="X398" s="8" t="s">
        <v>359</v>
      </c>
      <c r="Y398" s="8" t="s">
        <v>360</v>
      </c>
      <c r="Z398" s="8" t="s">
        <v>56</v>
      </c>
      <c r="AA398" s="8" t="s">
        <v>159</v>
      </c>
      <c r="AB398" s="8" t="s">
        <v>65</v>
      </c>
      <c r="AC398" s="8" t="s">
        <v>160</v>
      </c>
      <c r="AD398" s="8" t="s">
        <v>69</v>
      </c>
      <c r="AE398" s="8" t="s">
        <v>402</v>
      </c>
      <c r="AF398" s="8" t="s">
        <v>444</v>
      </c>
      <c r="AG398" s="8" t="s">
        <v>56</v>
      </c>
      <c r="AH398" s="8" t="s">
        <v>56</v>
      </c>
      <c r="AI398" s="8" t="s">
        <v>56</v>
      </c>
      <c r="AJ398" s="8" t="s">
        <v>56</v>
      </c>
      <c r="AK398" s="8" t="s">
        <v>58</v>
      </c>
      <c r="AL398" s="8" t="s">
        <v>56</v>
      </c>
      <c r="AM398" s="8" t="s">
        <v>56</v>
      </c>
      <c r="AN398" s="8" t="s">
        <v>56</v>
      </c>
      <c r="AO398" s="8" t="s">
        <v>56</v>
      </c>
      <c r="AP398" s="8" t="s">
        <v>93</v>
      </c>
      <c r="AQ398" s="8" t="s">
        <v>56</v>
      </c>
      <c r="AR398" s="8" t="s">
        <v>56</v>
      </c>
      <c r="AS398" s="8" t="s">
        <v>282</v>
      </c>
      <c r="AT398" s="8" t="s">
        <v>162</v>
      </c>
      <c r="AU398" s="8" t="s">
        <v>201</v>
      </c>
      <c r="AV398" s="8" t="s">
        <v>201</v>
      </c>
      <c r="AW398" s="8" t="s">
        <v>404</v>
      </c>
      <c r="AX398" s="8" t="s">
        <v>56</v>
      </c>
      <c r="AY398" s="8" t="s">
        <v>56</v>
      </c>
      <c r="AZ398" s="8" t="s">
        <v>384</v>
      </c>
      <c r="BA398" s="8" t="s">
        <v>56</v>
      </c>
      <c r="BB398" s="8" t="s">
        <v>56</v>
      </c>
      <c r="BC398" s="8" t="s">
        <v>56</v>
      </c>
      <c r="BD398" s="8" t="s">
        <v>56</v>
      </c>
      <c r="BE398" s="8" t="s">
        <v>56</v>
      </c>
    </row>
    <row r="399" spans="1:57" x14ac:dyDescent="0.3">
      <c r="A399" s="7">
        <v>414</v>
      </c>
      <c r="B399" s="8" t="s">
        <v>345</v>
      </c>
      <c r="C399" s="8" t="s">
        <v>346</v>
      </c>
      <c r="D399" s="8" t="s">
        <v>446</v>
      </c>
      <c r="E399" s="8" t="s">
        <v>62</v>
      </c>
      <c r="F399" s="8" t="s">
        <v>445</v>
      </c>
      <c r="G399" s="8" t="s">
        <v>447</v>
      </c>
      <c r="H399" s="8" t="s">
        <v>60</v>
      </c>
      <c r="I399" s="8" t="s">
        <v>269</v>
      </c>
      <c r="J399" s="8" t="s">
        <v>407</v>
      </c>
      <c r="K399" s="8" t="s">
        <v>448</v>
      </c>
      <c r="L399" s="8" t="s">
        <v>449</v>
      </c>
      <c r="M399" s="8" t="s">
        <v>56</v>
      </c>
      <c r="N399" s="8" t="s">
        <v>450</v>
      </c>
      <c r="O399" s="8" t="s">
        <v>451</v>
      </c>
      <c r="P399" s="8" t="s">
        <v>452</v>
      </c>
      <c r="Q399" s="8" t="s">
        <v>65</v>
      </c>
      <c r="R399" s="8" t="s">
        <v>86</v>
      </c>
      <c r="S399" s="8" t="s">
        <v>87</v>
      </c>
      <c r="T399" s="8" t="s">
        <v>453</v>
      </c>
      <c r="U399" s="8" t="s">
        <v>67</v>
      </c>
      <c r="V399" s="8" t="s">
        <v>57</v>
      </c>
      <c r="W399" s="8" t="s">
        <v>184</v>
      </c>
      <c r="X399" s="8" t="s">
        <v>359</v>
      </c>
      <c r="Y399" s="8" t="s">
        <v>360</v>
      </c>
      <c r="Z399" s="8" t="s">
        <v>56</v>
      </c>
      <c r="AA399" s="8" t="s">
        <v>159</v>
      </c>
      <c r="AB399" s="8" t="s">
        <v>454</v>
      </c>
      <c r="AC399" s="8" t="s">
        <v>197</v>
      </c>
      <c r="AD399" s="8" t="s">
        <v>69</v>
      </c>
      <c r="AE399" s="8" t="s">
        <v>134</v>
      </c>
      <c r="AF399" s="8" t="s">
        <v>455</v>
      </c>
      <c r="AG399" s="8" t="s">
        <v>56</v>
      </c>
      <c r="AH399" s="8" t="s">
        <v>56</v>
      </c>
      <c r="AI399" s="8" t="s">
        <v>56</v>
      </c>
      <c r="AJ399" s="8" t="s">
        <v>56</v>
      </c>
      <c r="AK399" s="8" t="s">
        <v>58</v>
      </c>
      <c r="AL399" s="8" t="s">
        <v>56</v>
      </c>
      <c r="AM399" s="8" t="s">
        <v>56</v>
      </c>
      <c r="AN399" s="8" t="s">
        <v>56</v>
      </c>
      <c r="AO399" s="8" t="s">
        <v>83</v>
      </c>
      <c r="AP399" s="8" t="s">
        <v>93</v>
      </c>
      <c r="AQ399" s="8" t="s">
        <v>94</v>
      </c>
      <c r="AR399" s="8" t="s">
        <v>56</v>
      </c>
      <c r="AS399" s="8" t="s">
        <v>199</v>
      </c>
      <c r="AT399" s="8" t="s">
        <v>456</v>
      </c>
      <c r="AU399" s="8" t="s">
        <v>457</v>
      </c>
      <c r="AV399" s="8" t="s">
        <v>400</v>
      </c>
      <c r="AW399" s="8" t="s">
        <v>139</v>
      </c>
      <c r="AX399" s="8" t="s">
        <v>56</v>
      </c>
      <c r="AY399" s="8" t="s">
        <v>56</v>
      </c>
      <c r="AZ399" s="8" t="s">
        <v>384</v>
      </c>
      <c r="BA399" s="8" t="s">
        <v>56</v>
      </c>
      <c r="BB399" s="8" t="s">
        <v>56</v>
      </c>
      <c r="BC399" s="8" t="s">
        <v>56</v>
      </c>
      <c r="BD399" s="8" t="s">
        <v>56</v>
      </c>
      <c r="BE399" s="8" t="s">
        <v>56</v>
      </c>
    </row>
    <row r="400" spans="1:57" x14ac:dyDescent="0.3">
      <c r="A400" s="7">
        <v>415</v>
      </c>
      <c r="B400" s="8" t="s">
        <v>345</v>
      </c>
      <c r="C400" s="8" t="s">
        <v>346</v>
      </c>
      <c r="D400" s="8" t="s">
        <v>458</v>
      </c>
      <c r="E400" s="8" t="s">
        <v>459</v>
      </c>
      <c r="F400" s="8" t="s">
        <v>460</v>
      </c>
      <c r="G400" s="8" t="s">
        <v>461</v>
      </c>
      <c r="H400" s="8" t="s">
        <v>462</v>
      </c>
      <c r="I400" s="8" t="s">
        <v>269</v>
      </c>
      <c r="J400" s="8" t="s">
        <v>407</v>
      </c>
      <c r="K400" s="8" t="s">
        <v>359</v>
      </c>
      <c r="L400" s="8" t="s">
        <v>374</v>
      </c>
      <c r="M400" s="8" t="s">
        <v>56</v>
      </c>
      <c r="N400" s="8" t="s">
        <v>83</v>
      </c>
      <c r="O400" s="8" t="s">
        <v>408</v>
      </c>
      <c r="P400" s="8" t="s">
        <v>409</v>
      </c>
      <c r="Q400" s="8" t="s">
        <v>65</v>
      </c>
      <c r="R400" s="8" t="s">
        <v>86</v>
      </c>
      <c r="S400" s="8" t="s">
        <v>87</v>
      </c>
      <c r="T400" s="8" t="s">
        <v>463</v>
      </c>
      <c r="U400" s="8" t="s">
        <v>464</v>
      </c>
      <c r="V400" s="8" t="s">
        <v>57</v>
      </c>
      <c r="W400" s="8" t="s">
        <v>184</v>
      </c>
      <c r="X400" s="8" t="s">
        <v>359</v>
      </c>
      <c r="Y400" s="8" t="s">
        <v>465</v>
      </c>
      <c r="Z400" s="8" t="s">
        <v>56</v>
      </c>
      <c r="AA400" s="8" t="s">
        <v>159</v>
      </c>
      <c r="AB400" s="8" t="s">
        <v>65</v>
      </c>
      <c r="AC400" s="8" t="s">
        <v>466</v>
      </c>
      <c r="AD400" s="8" t="s">
        <v>69</v>
      </c>
      <c r="AE400" s="8" t="s">
        <v>467</v>
      </c>
      <c r="AF400" s="8" t="s">
        <v>56</v>
      </c>
      <c r="AG400" s="8" t="s">
        <v>56</v>
      </c>
      <c r="AH400" s="8" t="s">
        <v>468</v>
      </c>
      <c r="AI400" s="8" t="s">
        <v>56</v>
      </c>
      <c r="AJ400" s="8" t="s">
        <v>56</v>
      </c>
      <c r="AK400" s="8" t="s">
        <v>56</v>
      </c>
      <c r="AL400" s="8" t="s">
        <v>56</v>
      </c>
      <c r="AM400" s="8" t="s">
        <v>56</v>
      </c>
      <c r="AN400" s="8" t="s">
        <v>56</v>
      </c>
      <c r="AO400" s="8" t="s">
        <v>56</v>
      </c>
      <c r="AP400" s="8" t="s">
        <v>93</v>
      </c>
      <c r="AQ400" s="8" t="s">
        <v>117</v>
      </c>
      <c r="AR400" s="8" t="s">
        <v>56</v>
      </c>
      <c r="AS400" s="8" t="s">
        <v>469</v>
      </c>
      <c r="AT400" s="8" t="s">
        <v>470</v>
      </c>
      <c r="AU400" s="8" t="s">
        <v>471</v>
      </c>
      <c r="AV400" s="8" t="s">
        <v>201</v>
      </c>
      <c r="AW400" s="8" t="s">
        <v>472</v>
      </c>
      <c r="AX400" s="8" t="s">
        <v>56</v>
      </c>
      <c r="AY400" s="8" t="s">
        <v>56</v>
      </c>
      <c r="AZ400" s="8" t="s">
        <v>384</v>
      </c>
      <c r="BA400" s="8" t="s">
        <v>56</v>
      </c>
      <c r="BB400" s="8" t="s">
        <v>473</v>
      </c>
      <c r="BC400" s="8" t="s">
        <v>56</v>
      </c>
      <c r="BD400" s="8" t="s">
        <v>474</v>
      </c>
      <c r="BE400" s="8" t="s">
        <v>475</v>
      </c>
    </row>
    <row r="401" spans="1:57" x14ac:dyDescent="0.3">
      <c r="A401" s="7">
        <v>416</v>
      </c>
      <c r="B401" s="8" t="s">
        <v>345</v>
      </c>
      <c r="C401" s="8" t="s">
        <v>346</v>
      </c>
      <c r="D401" s="8" t="s">
        <v>476</v>
      </c>
      <c r="E401" s="8" t="s">
        <v>62</v>
      </c>
      <c r="F401" s="8" t="s">
        <v>445</v>
      </c>
      <c r="G401" s="8" t="s">
        <v>477</v>
      </c>
      <c r="H401" s="8" t="s">
        <v>478</v>
      </c>
      <c r="I401" s="8" t="s">
        <v>269</v>
      </c>
      <c r="J401" s="8" t="s">
        <v>407</v>
      </c>
      <c r="K401" s="8" t="s">
        <v>448</v>
      </c>
      <c r="L401" s="8" t="s">
        <v>449</v>
      </c>
      <c r="M401" s="8" t="s">
        <v>56</v>
      </c>
      <c r="N401" s="8" t="s">
        <v>479</v>
      </c>
      <c r="O401" s="8" t="s">
        <v>451</v>
      </c>
      <c r="P401" s="8" t="s">
        <v>452</v>
      </c>
      <c r="Q401" s="8" t="s">
        <v>65</v>
      </c>
      <c r="R401" s="8" t="s">
        <v>86</v>
      </c>
      <c r="S401" s="8" t="s">
        <v>87</v>
      </c>
      <c r="T401" s="8" t="s">
        <v>480</v>
      </c>
      <c r="U401" s="8" t="s">
        <v>67</v>
      </c>
      <c r="V401" s="8" t="s">
        <v>57</v>
      </c>
      <c r="W401" s="8" t="s">
        <v>184</v>
      </c>
      <c r="X401" s="8" t="s">
        <v>359</v>
      </c>
      <c r="Y401" s="8" t="s">
        <v>360</v>
      </c>
      <c r="Z401" s="8" t="s">
        <v>56</v>
      </c>
      <c r="AA401" s="8" t="s">
        <v>159</v>
      </c>
      <c r="AB401" s="8" t="s">
        <v>454</v>
      </c>
      <c r="AC401" s="8" t="s">
        <v>197</v>
      </c>
      <c r="AD401" s="8" t="s">
        <v>69</v>
      </c>
      <c r="AE401" s="8" t="s">
        <v>134</v>
      </c>
      <c r="AF401" s="8" t="s">
        <v>455</v>
      </c>
      <c r="AG401" s="8" t="s">
        <v>56</v>
      </c>
      <c r="AH401" s="8" t="s">
        <v>56</v>
      </c>
      <c r="AI401" s="8" t="s">
        <v>56</v>
      </c>
      <c r="AJ401" s="8" t="s">
        <v>56</v>
      </c>
      <c r="AK401" s="8" t="s">
        <v>58</v>
      </c>
      <c r="AL401" s="8" t="s">
        <v>56</v>
      </c>
      <c r="AM401" s="8" t="s">
        <v>56</v>
      </c>
      <c r="AN401" s="8" t="s">
        <v>56</v>
      </c>
      <c r="AO401" s="8" t="s">
        <v>83</v>
      </c>
      <c r="AP401" s="8" t="s">
        <v>93</v>
      </c>
      <c r="AQ401" s="8" t="s">
        <v>117</v>
      </c>
      <c r="AR401" s="8" t="s">
        <v>56</v>
      </c>
      <c r="AS401" s="8" t="s">
        <v>199</v>
      </c>
      <c r="AT401" s="8" t="s">
        <v>456</v>
      </c>
      <c r="AU401" s="8" t="s">
        <v>457</v>
      </c>
      <c r="AV401" s="8" t="s">
        <v>400</v>
      </c>
      <c r="AW401" s="8" t="s">
        <v>139</v>
      </c>
      <c r="AX401" s="8" t="s">
        <v>56</v>
      </c>
      <c r="AY401" s="8" t="s">
        <v>56</v>
      </c>
      <c r="AZ401" s="8" t="s">
        <v>384</v>
      </c>
      <c r="BA401" s="8" t="s">
        <v>56</v>
      </c>
      <c r="BB401" s="8" t="s">
        <v>56</v>
      </c>
      <c r="BC401" s="8" t="s">
        <v>56</v>
      </c>
      <c r="BD401" s="8" t="s">
        <v>56</v>
      </c>
      <c r="BE401" s="8" t="s">
        <v>56</v>
      </c>
    </row>
    <row r="402" spans="1:57" x14ac:dyDescent="0.3">
      <c r="A402" s="7">
        <v>417</v>
      </c>
      <c r="B402" s="8" t="s">
        <v>345</v>
      </c>
      <c r="C402" s="8" t="s">
        <v>346</v>
      </c>
      <c r="D402" s="8" t="s">
        <v>482</v>
      </c>
      <c r="E402" s="8" t="s">
        <v>459</v>
      </c>
      <c r="F402" s="8" t="s">
        <v>483</v>
      </c>
      <c r="G402" s="8" t="s">
        <v>484</v>
      </c>
      <c r="H402" s="8" t="s">
        <v>56</v>
      </c>
      <c r="I402" s="8" t="s">
        <v>269</v>
      </c>
      <c r="J402" s="8" t="s">
        <v>391</v>
      </c>
      <c r="K402" s="8" t="s">
        <v>485</v>
      </c>
      <c r="L402" s="8" t="s">
        <v>374</v>
      </c>
      <c r="M402" s="8" t="s">
        <v>56</v>
      </c>
      <c r="N402" s="8" t="s">
        <v>83</v>
      </c>
      <c r="O402" s="8" t="s">
        <v>408</v>
      </c>
      <c r="P402" s="8" t="s">
        <v>409</v>
      </c>
      <c r="Q402" s="8" t="s">
        <v>65</v>
      </c>
      <c r="R402" s="8" t="s">
        <v>86</v>
      </c>
      <c r="S402" s="8" t="s">
        <v>87</v>
      </c>
      <c r="T402" s="8" t="s">
        <v>486</v>
      </c>
      <c r="U402" s="8" t="s">
        <v>459</v>
      </c>
      <c r="V402" s="8" t="s">
        <v>57</v>
      </c>
      <c r="W402" s="8" t="s">
        <v>184</v>
      </c>
      <c r="X402" s="8" t="s">
        <v>359</v>
      </c>
      <c r="Y402" s="8" t="s">
        <v>465</v>
      </c>
      <c r="Z402" s="8" t="s">
        <v>56</v>
      </c>
      <c r="AA402" s="8" t="s">
        <v>159</v>
      </c>
      <c r="AB402" s="8" t="s">
        <v>65</v>
      </c>
      <c r="AC402" s="8" t="s">
        <v>487</v>
      </c>
      <c r="AD402" s="8" t="s">
        <v>69</v>
      </c>
      <c r="AE402" s="8" t="s">
        <v>402</v>
      </c>
      <c r="AF402" s="8" t="s">
        <v>56</v>
      </c>
      <c r="AG402" s="8" t="s">
        <v>56</v>
      </c>
      <c r="AH402" s="8" t="s">
        <v>468</v>
      </c>
      <c r="AI402" s="8" t="s">
        <v>56</v>
      </c>
      <c r="AJ402" s="8" t="s">
        <v>56</v>
      </c>
      <c r="AK402" s="8" t="s">
        <v>56</v>
      </c>
      <c r="AL402" s="8" t="s">
        <v>56</v>
      </c>
      <c r="AM402" s="8" t="s">
        <v>56</v>
      </c>
      <c r="AN402" s="8" t="s">
        <v>56</v>
      </c>
      <c r="AO402" s="8" t="s">
        <v>56</v>
      </c>
      <c r="AP402" s="8" t="s">
        <v>93</v>
      </c>
      <c r="AQ402" s="8" t="s">
        <v>117</v>
      </c>
      <c r="AR402" s="8" t="s">
        <v>56</v>
      </c>
      <c r="AS402" s="8" t="s">
        <v>469</v>
      </c>
      <c r="AT402" s="8" t="s">
        <v>470</v>
      </c>
      <c r="AU402" s="8" t="s">
        <v>471</v>
      </c>
      <c r="AV402" s="8" t="s">
        <v>201</v>
      </c>
      <c r="AW402" s="8" t="s">
        <v>404</v>
      </c>
      <c r="AX402" s="8" t="s">
        <v>56</v>
      </c>
      <c r="AY402" s="8" t="s">
        <v>56</v>
      </c>
      <c r="AZ402" s="8" t="s">
        <v>438</v>
      </c>
      <c r="BA402" s="8" t="s">
        <v>56</v>
      </c>
      <c r="BB402" s="8" t="s">
        <v>473</v>
      </c>
      <c r="BC402" s="8" t="s">
        <v>56</v>
      </c>
      <c r="BD402" s="8" t="s">
        <v>474</v>
      </c>
      <c r="BE402" s="8" t="s">
        <v>475</v>
      </c>
    </row>
    <row r="403" spans="1:57" x14ac:dyDescent="0.3">
      <c r="A403" s="7">
        <v>418</v>
      </c>
      <c r="B403" s="8" t="s">
        <v>345</v>
      </c>
      <c r="C403" s="8" t="s">
        <v>346</v>
      </c>
      <c r="D403" s="8" t="s">
        <v>488</v>
      </c>
      <c r="E403" s="8" t="s">
        <v>459</v>
      </c>
      <c r="F403" s="8" t="s">
        <v>489</v>
      </c>
      <c r="G403" s="8" t="s">
        <v>490</v>
      </c>
      <c r="H403" s="8" t="s">
        <v>56</v>
      </c>
      <c r="I403" s="8" t="s">
        <v>269</v>
      </c>
      <c r="J403" s="8" t="s">
        <v>391</v>
      </c>
      <c r="K403" s="8" t="s">
        <v>485</v>
      </c>
      <c r="L403" s="8" t="s">
        <v>374</v>
      </c>
      <c r="M403" s="8" t="s">
        <v>56</v>
      </c>
      <c r="N403" s="8" t="s">
        <v>83</v>
      </c>
      <c r="O403" s="8" t="s">
        <v>408</v>
      </c>
      <c r="P403" s="8" t="s">
        <v>409</v>
      </c>
      <c r="Q403" s="8" t="s">
        <v>65</v>
      </c>
      <c r="R403" s="8" t="s">
        <v>86</v>
      </c>
      <c r="S403" s="8" t="s">
        <v>87</v>
      </c>
      <c r="T403" s="8" t="s">
        <v>491</v>
      </c>
      <c r="U403" s="8" t="s">
        <v>459</v>
      </c>
      <c r="V403" s="8" t="s">
        <v>57</v>
      </c>
      <c r="W403" s="8" t="s">
        <v>184</v>
      </c>
      <c r="X403" s="8" t="s">
        <v>359</v>
      </c>
      <c r="Y403" s="8" t="s">
        <v>465</v>
      </c>
      <c r="Z403" s="8" t="s">
        <v>56</v>
      </c>
      <c r="AA403" s="8" t="s">
        <v>159</v>
      </c>
      <c r="AB403" s="8" t="s">
        <v>65</v>
      </c>
      <c r="AC403" s="8" t="s">
        <v>487</v>
      </c>
      <c r="AD403" s="8" t="s">
        <v>69</v>
      </c>
      <c r="AE403" s="8" t="s">
        <v>402</v>
      </c>
      <c r="AF403" s="8" t="s">
        <v>56</v>
      </c>
      <c r="AG403" s="8" t="s">
        <v>56</v>
      </c>
      <c r="AH403" s="8" t="s">
        <v>468</v>
      </c>
      <c r="AI403" s="8" t="s">
        <v>56</v>
      </c>
      <c r="AJ403" s="8" t="s">
        <v>56</v>
      </c>
      <c r="AK403" s="8" t="s">
        <v>56</v>
      </c>
      <c r="AL403" s="8" t="s">
        <v>56</v>
      </c>
      <c r="AM403" s="8" t="s">
        <v>56</v>
      </c>
      <c r="AN403" s="8" t="s">
        <v>56</v>
      </c>
      <c r="AO403" s="8" t="s">
        <v>56</v>
      </c>
      <c r="AP403" s="8" t="s">
        <v>93</v>
      </c>
      <c r="AQ403" s="8" t="s">
        <v>117</v>
      </c>
      <c r="AR403" s="8" t="s">
        <v>56</v>
      </c>
      <c r="AS403" s="8" t="s">
        <v>469</v>
      </c>
      <c r="AT403" s="8" t="s">
        <v>470</v>
      </c>
      <c r="AU403" s="8" t="s">
        <v>471</v>
      </c>
      <c r="AV403" s="8" t="s">
        <v>201</v>
      </c>
      <c r="AW403" s="8" t="s">
        <v>404</v>
      </c>
      <c r="AX403" s="8" t="s">
        <v>56</v>
      </c>
      <c r="AY403" s="8" t="s">
        <v>56</v>
      </c>
      <c r="AZ403" s="8" t="s">
        <v>438</v>
      </c>
      <c r="BA403" s="8" t="s">
        <v>56</v>
      </c>
      <c r="BB403" s="8" t="s">
        <v>473</v>
      </c>
      <c r="BC403" s="8" t="s">
        <v>56</v>
      </c>
      <c r="BD403" s="8" t="s">
        <v>474</v>
      </c>
      <c r="BE403" s="8" t="s">
        <v>475</v>
      </c>
    </row>
    <row r="404" spans="1:57" x14ac:dyDescent="0.3">
      <c r="A404" s="7">
        <v>419</v>
      </c>
      <c r="B404" s="8" t="s">
        <v>345</v>
      </c>
      <c r="C404" s="8" t="s">
        <v>346</v>
      </c>
      <c r="D404" s="8" t="s">
        <v>492</v>
      </c>
      <c r="E404" s="8" t="s">
        <v>124</v>
      </c>
      <c r="F404" s="8" t="s">
        <v>493</v>
      </c>
      <c r="G404" s="8" t="s">
        <v>494</v>
      </c>
      <c r="H404" s="8" t="s">
        <v>495</v>
      </c>
      <c r="I404" s="8" t="s">
        <v>496</v>
      </c>
      <c r="J404" s="8" t="s">
        <v>497</v>
      </c>
      <c r="K404" s="8" t="s">
        <v>359</v>
      </c>
      <c r="L404" s="8" t="s">
        <v>374</v>
      </c>
      <c r="M404" s="8" t="s">
        <v>56</v>
      </c>
      <c r="N404" s="8" t="s">
        <v>225</v>
      </c>
      <c r="O404" s="8" t="s">
        <v>498</v>
      </c>
      <c r="P404" s="8" t="s">
        <v>499</v>
      </c>
      <c r="Q404" s="8" t="s">
        <v>65</v>
      </c>
      <c r="R404" s="8" t="s">
        <v>86</v>
      </c>
      <c r="S404" s="8" t="s">
        <v>155</v>
      </c>
      <c r="T404" s="8" t="s">
        <v>500</v>
      </c>
      <c r="U404" s="8" t="s">
        <v>124</v>
      </c>
      <c r="V404" s="8" t="s">
        <v>57</v>
      </c>
      <c r="W404" s="8" t="s">
        <v>322</v>
      </c>
      <c r="X404" s="8" t="s">
        <v>359</v>
      </c>
      <c r="Y404" s="8" t="s">
        <v>360</v>
      </c>
      <c r="Z404" s="8" t="s">
        <v>113</v>
      </c>
      <c r="AA404" s="8" t="s">
        <v>159</v>
      </c>
      <c r="AB404" s="8" t="s">
        <v>65</v>
      </c>
      <c r="AC404" s="8" t="s">
        <v>376</v>
      </c>
      <c r="AD404" s="8" t="s">
        <v>69</v>
      </c>
      <c r="AE404" s="8" t="s">
        <v>377</v>
      </c>
      <c r="AF404" s="8" t="s">
        <v>378</v>
      </c>
      <c r="AG404" s="8" t="s">
        <v>56</v>
      </c>
      <c r="AH404" s="8" t="s">
        <v>501</v>
      </c>
      <c r="AI404" s="8" t="s">
        <v>56</v>
      </c>
      <c r="AJ404" s="8" t="s">
        <v>56</v>
      </c>
      <c r="AK404" s="8" t="s">
        <v>380</v>
      </c>
      <c r="AL404" s="8" t="s">
        <v>56</v>
      </c>
      <c r="AM404" s="8" t="s">
        <v>56</v>
      </c>
      <c r="AN404" s="8" t="s">
        <v>502</v>
      </c>
      <c r="AO404" s="8" t="s">
        <v>56</v>
      </c>
      <c r="AP404" s="8" t="s">
        <v>163</v>
      </c>
      <c r="AQ404" s="8" t="s">
        <v>94</v>
      </c>
      <c r="AR404" s="8" t="s">
        <v>56</v>
      </c>
      <c r="AS404" s="8" t="s">
        <v>503</v>
      </c>
      <c r="AT404" s="8" t="s">
        <v>380</v>
      </c>
      <c r="AU404" s="8" t="s">
        <v>383</v>
      </c>
      <c r="AV404" s="8" t="s">
        <v>502</v>
      </c>
      <c r="AW404" s="8" t="s">
        <v>97</v>
      </c>
      <c r="AX404" s="8" t="s">
        <v>56</v>
      </c>
      <c r="AY404" s="8" t="s">
        <v>56</v>
      </c>
      <c r="AZ404" s="8" t="s">
        <v>384</v>
      </c>
      <c r="BA404" s="8" t="s">
        <v>56</v>
      </c>
      <c r="BB404" s="8" t="s">
        <v>248</v>
      </c>
      <c r="BC404" s="8" t="s">
        <v>56</v>
      </c>
      <c r="BD404" s="8" t="s">
        <v>385</v>
      </c>
      <c r="BE404" s="8" t="s">
        <v>386</v>
      </c>
    </row>
  </sheetData>
  <sortState xmlns:xlrd2="http://schemas.microsoft.com/office/spreadsheetml/2017/richdata2" ref="A2:BE454">
    <sortCondition ref="B322:B454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第1页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克勤 丁</cp:lastModifiedBy>
  <dcterms:created xsi:type="dcterms:W3CDTF">2025-09-03T10:34:59Z</dcterms:created>
  <dcterms:modified xsi:type="dcterms:W3CDTF">2025-09-04T04:05:06Z</dcterms:modified>
</cp:coreProperties>
</file>